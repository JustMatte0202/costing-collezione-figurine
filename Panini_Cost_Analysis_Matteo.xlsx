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tesi" sheetId="1" r:id="rId5"/>
    <sheet state="visible" name="Ipotesi" sheetId="2" r:id="rId6"/>
    <sheet state="visible" name="Distinta_Tecnica" sheetId="3" r:id="rId7"/>
    <sheet state="visible" name="Scheda_Costi" sheetId="4" r:id="rId8"/>
    <sheet state="visible" name="Preventivatore" sheetId="5" r:id="rId9"/>
    <sheet state="visible" name="Sensitivita" sheetId="6" r:id="rId10"/>
    <sheet state="visible" name="Fornitori" sheetId="7" r:id="rId11"/>
    <sheet state="visible" name="Make_or_Buy" sheetId="8" r:id="rId12"/>
    <sheet state="visible" name="Nuovo_Prodotto" sheetId="9" r:id="rId13"/>
  </sheets>
  <definedNames/>
  <calcPr/>
</workbook>
</file>

<file path=xl/sharedStrings.xml><?xml version="1.0" encoding="utf-8"?>
<sst xmlns="http://schemas.openxmlformats.org/spreadsheetml/2006/main" count="386" uniqueCount="308">
  <si>
    <t>Ipotesi e prezzi di mercato</t>
  </si>
  <si>
    <t>Collezione 'Campioni 2027' – Analisi tecnica e dei costi</t>
  </si>
  <si>
    <t>Scheda costi di prodotto</t>
  </si>
  <si>
    <t>Distinta tecnica – Collezione 'Campioni 2027' (caso di studio)</t>
  </si>
  <si>
    <t>Celle blu su fondo giallo = input modificabili. Fonti indicate per ogni valore; 'Stima' = ipotesi dichiarata dell'autore. Aggiornato: settembre 2026.</t>
  </si>
  <si>
    <t>Caso di studio di Matteo · Settembre 2026 · Prezzi di mercato 2025-2026 con fonti nel foglio Ipotesi</t>
  </si>
  <si>
    <t>Costi variabili per unità + costi fissi di lavoro (avviamento). Tutte le celle sono formule collegate a Ipotesi e Distinta_Tecnica.</t>
  </si>
  <si>
    <t>Indicatore</t>
  </si>
  <si>
    <t>Parametro</t>
  </si>
  <si>
    <t>Voce</t>
  </si>
  <si>
    <t>Collezione fittizia costruita per l'esercizio: album + bustine di figurine autoadesive + espositore da banco.</t>
  </si>
  <si>
    <t>Valore</t>
  </si>
  <si>
    <t>Riferimento</t>
  </si>
  <si>
    <t>Quantità per unità</t>
  </si>
  <si>
    <t>Unità</t>
  </si>
  <si>
    <t>Costo pieno album (100.000 pz)</t>
  </si>
  <si>
    <t>Prezzo unitario (€)</t>
  </si>
  <si>
    <t>Costo per unità (€)</t>
  </si>
  <si>
    <t>Logica di calcolo</t>
  </si>
  <si>
    <t>Tipo</t>
  </si>
  <si>
    <t>Fonte / nota</t>
  </si>
  <si>
    <t>Componente</t>
  </si>
  <si>
    <t>Carta patinata in fogli – prezzo medio UE 2025</t>
  </si>
  <si>
    <t>Elemento costruttivo</t>
  </si>
  <si>
    <t>A. ALBUM (48 pagine + copertina)</t>
  </si>
  <si>
    <t>Materiale</t>
  </si>
  <si>
    <t>Grammatura / spessore</t>
  </si>
  <si>
    <t>Formato</t>
  </si>
  <si>
    <t>Tecnica di stampa</t>
  </si>
  <si>
    <t>Lavorazioni cartotecniche</t>
  </si>
  <si>
    <t>Interno / esterno</t>
  </si>
  <si>
    <t>Fogli macchina interni</t>
  </si>
  <si>
    <t>Album</t>
  </si>
  <si>
    <t>€/t</t>
  </si>
  <si>
    <t>Mercato</t>
  </si>
  <si>
    <t>Pricepedia, 'Graphic Paper Prices: July 2025' (media 2025)</t>
  </si>
  <si>
    <t>Copertina</t>
  </si>
  <si>
    <t>Rincaro 2026 applicato</t>
  </si>
  <si>
    <t>Cartoncino GC1</t>
  </si>
  <si>
    <t>300 g/m²</t>
  </si>
  <si>
    <t>47 × 30 cm aperta (con dorso)</t>
  </si>
  <si>
    <t>Offset 4+0</t>
  </si>
  <si>
    <t>Plastificazione lucida, cordonatura</t>
  </si>
  <si>
    <t>Interno</t>
  </si>
  <si>
    <t>Pagine interne (48 pp)</t>
  </si>
  <si>
    <t>Scheda_Costi</t>
  </si>
  <si>
    <t>Carta patinata opaca</t>
  </si>
  <si>
    <t>115 g/m²</t>
  </si>
  <si>
    <t>Costo pieno bustina (1.000.000 pz)</t>
  </si>
  <si>
    <t>23 × 30 cm</t>
  </si>
  <si>
    <t>%</t>
  </si>
  <si>
    <t>Offset 4+4</t>
  </si>
  <si>
    <t>Stima</t>
  </si>
  <si>
    <t>Piega in segnature, raccolta</t>
  </si>
  <si>
    <t>Aumenti annunciati 2026 da Sappi (+50/70 €/t, poi +65 €/t) e Arctic Paper; FreshPlaza apr-2026, Pulpapernews mag-2026</t>
  </si>
  <si>
    <t>Carta patinata 2026 (calcolata)</t>
  </si>
  <si>
    <t>Legatura</t>
  </si>
  <si>
    <t>Punti metallici</t>
  </si>
  <si>
    <t>—</t>
  </si>
  <si>
    <t>Cucitura a punto metallico, rifilo 3 lati</t>
  </si>
  <si>
    <t>fogli</t>
  </si>
  <si>
    <t>Figurina</t>
  </si>
  <si>
    <t>Supporto</t>
  </si>
  <si>
    <t>Carta autoadesiva patinata</t>
  </si>
  <si>
    <t>80 g + liner</t>
  </si>
  <si>
    <t>5 × 7 cm</t>
  </si>
  <si>
    <t>Incidenza costo pieno su ricavo netto bustina</t>
  </si>
  <si>
    <t>Offset 4+0 (+ retro 1 colore sul liner)</t>
  </si>
  <si>
    <t>Fustellatura a mezzo taglio, taglio in lotti da 6</t>
  </si>
  <si>
    <t>Figurina speciale</t>
  </si>
  <si>
    <t>Variante olografica (1 ogni 6 bustine)</t>
  </si>
  <si>
    <t>Film olografico laminato</t>
  </si>
  <si>
    <t>Offset UV 4+0</t>
  </si>
  <si>
    <t>Calcolo</t>
  </si>
  <si>
    <t>Laminazione a caldo</t>
  </si>
  <si>
    <t>Base 2025 × (1 + rincaro)</t>
  </si>
  <si>
    <t>Esterno</t>
  </si>
  <si>
    <t>Cartoncino GC1 per copertine</t>
  </si>
  <si>
    <t>Bustina</t>
  </si>
  <si>
    <t>Quota carta sul costo variabile album</t>
  </si>
  <si>
    <t>Involucro</t>
  </si>
  <si>
    <t>pagine ÷ pagine per foglio × (1+scarto)</t>
  </si>
  <si>
    <t>Film BOPP</t>
  </si>
  <si>
    <t>30 µm</t>
  </si>
  <si>
    <t>7 × 9 cm (fronte+retro)</t>
  </si>
  <si>
    <t>Flessografia 4 colori</t>
  </si>
  <si>
    <t>Fogli macchina copertina</t>
  </si>
  <si>
    <t>Saldatura a flow-pack</t>
  </si>
  <si>
    <t>Esterno (film stampato)</t>
  </si>
  <si>
    <t>Espositore</t>
  </si>
  <si>
    <t>Box da banco 50 bustine</t>
  </si>
  <si>
    <t>Cartone microonda E</t>
  </si>
  <si>
    <t>≈ 1,5 mm</t>
  </si>
  <si>
    <t>15 × 12 × 8 cm</t>
  </si>
  <si>
    <t>Offset 4+0 su copertina accoppiata</t>
  </si>
  <si>
    <t>Accoppiatura, fustellatura, incollaggio</t>
  </si>
  <si>
    <t>Patinata × (1 + premio cartoncino); nessun listino pubblico gratuito</t>
  </si>
  <si>
    <t>Tiratura di pareggio make-or-buy figurine</t>
  </si>
  <si>
    <t>Premio cartoncino vs patinata</t>
  </si>
  <si>
    <t>Differenziale tipico FBB/patinata; da verificare con fornitori</t>
  </si>
  <si>
    <t>Carta autoadesiva patinata (facestock+adesivo+liner)</t>
  </si>
  <si>
    <t>1 ÷ copertine per foglio × (1+scarto)</t>
  </si>
  <si>
    <t>Carta patinata 115 g</t>
  </si>
  <si>
    <t>€/m²</t>
  </si>
  <si>
    <t>Parametri di imposizione</t>
  </si>
  <si>
    <t>Ordine di grandezza per etichettifici; da validare</t>
  </si>
  <si>
    <t>Make_or_Buy</t>
  </si>
  <si>
    <t>Film BOPP – Germania Q2 2026</t>
  </si>
  <si>
    <t>Fornitore espositori consigliato</t>
  </si>
  <si>
    <t>USD/t</t>
  </si>
  <si>
    <t>ChemAnalyst, BOPP Film Prices Q2 2026</t>
  </si>
  <si>
    <t>Cambio USD per 1 EUR</t>
  </si>
  <si>
    <t>USD/€</t>
  </si>
  <si>
    <t>Cambio medio ipotizzato</t>
  </si>
  <si>
    <t>Nota</t>
  </si>
  <si>
    <t>Film BOPP (calcolato)</t>
  </si>
  <si>
    <t>t</t>
  </si>
  <si>
    <t>Formato foglio macchina (m²)</t>
  </si>
  <si>
    <t>USD/t ÷ cambio</t>
  </si>
  <si>
    <t>Energia elettrica imprese</t>
  </si>
  <si>
    <t>€/kWh</t>
  </si>
  <si>
    <t>ARERA via Energia B2B: 26,5 c€/kWh imprese italiane (2024)</t>
  </si>
  <si>
    <t>Costo pieno orario operatore</t>
  </si>
  <si>
    <t>70 × 100 cm</t>
  </si>
  <si>
    <t>€/h</t>
  </si>
  <si>
    <t>CCNL Grafici-Editoriali industria, livello B2: minimo 1.713,68 €/mese (lug-dic 2026, Lexplain) + contingenza, 14 mensilità, contributi e TFR ≈ +35%, 1.650 h/anno</t>
  </si>
  <si>
    <t>Fornitori</t>
  </si>
  <si>
    <t>Costo orario macchina offset 70x100 (ammortamento + manutenzione)</t>
  </si>
  <si>
    <t>fogli × m² × g/m² → tonnellate</t>
  </si>
  <si>
    <t>Δ costo bustina con figurina olografica</t>
  </si>
  <si>
    <t>Pagine interne per foglio (bianca+volta)</t>
  </si>
  <si>
    <t>Esclusi energia e personale</t>
  </si>
  <si>
    <t>Cartoncino GC1 300 g</t>
  </si>
  <si>
    <t>Potenza media assorbita macchina offset</t>
  </si>
  <si>
    <t>8 pagine per lato</t>
  </si>
  <si>
    <t>kW</t>
  </si>
  <si>
    <t>Macchina 4 colori formato 70x100</t>
  </si>
  <si>
    <t>Velocità netta di stampa</t>
  </si>
  <si>
    <t>fogli/h</t>
  </si>
  <si>
    <t>Pagine interne album</t>
  </si>
  <si>
    <t>Inchiostro offset quadricromia</t>
  </si>
  <si>
    <t>€/kg</t>
  </si>
  <si>
    <t>Nuovo_Prodotto</t>
  </si>
  <si>
    <t>Δ costo bustina plastic-free</t>
  </si>
  <si>
    <t>Consumo inchiostro (4 colori)</t>
  </si>
  <si>
    <t>Copertine per foglio</t>
  </si>
  <si>
    <t>g/m² per lato</t>
  </si>
  <si>
    <t>Copertina aperta 47 × 30</t>
  </si>
  <si>
    <t>Lastra CTP</t>
  </si>
  <si>
    <t>€/lastra</t>
  </si>
  <si>
    <t>Ore di avviamento per lavoro</t>
  </si>
  <si>
    <t>Figurine per foglio (con margini)</t>
  </si>
  <si>
    <t>h</t>
  </si>
  <si>
    <t>Inchiostro</t>
  </si>
  <si>
    <t>Messa a registro, colore, prove</t>
  </si>
  <si>
    <t>Teorico 200; 10% perso in margini e crocini</t>
  </si>
  <si>
    <t>Scarto di avviamento e tiratura</t>
  </si>
  <si>
    <t>Costi generali (overhead)</t>
  </si>
  <si>
    <t>Figurine per bustina</t>
  </si>
  <si>
    <t>Applicati al costo industriale</t>
  </si>
  <si>
    <t>Ricarico commerciale preventivi</t>
  </si>
  <si>
    <t>Struttura del file</t>
  </si>
  <si>
    <t>Prezzo al pubblico bustina (6 figurine)</t>
  </si>
  <si>
    <t>Lastre per lavoro album</t>
  </si>
  <si>
    <t>€</t>
  </si>
  <si>
    <t>Ipotesi</t>
  </si>
  <si>
    <t>kg</t>
  </si>
  <si>
    <t>Rivenditore online Muscara.com, bustina Calciatori 2025-26</t>
  </si>
  <si>
    <t>3 segnature × 8 + copertina 4 (arrotondato)</t>
  </si>
  <si>
    <t>Quota distribuzione/edicola sul prezzo</t>
  </si>
  <si>
    <t>Aggio + distribuzione</t>
  </si>
  <si>
    <t>Lastre per lavoro figurine</t>
  </si>
  <si>
    <t>Per ogni 'serie' da ristampare</t>
  </si>
  <si>
    <t>Prezzi di mercato con fonte e stime dichiarate</t>
  </si>
  <si>
    <t>Area film per bustina (m²)</t>
  </si>
  <si>
    <t>Distinta_Tecnica</t>
  </si>
  <si>
    <t>Elementi costruttivi, materiali, stampa, cartotecnica, imposizione</t>
  </si>
  <si>
    <t>2 × 0,07 × 0,09</t>
  </si>
  <si>
    <t>interni 2 lati, copertina 1 lato</t>
  </si>
  <si>
    <t>Tempo macchina (tiratura)</t>
  </si>
  <si>
    <t>Costo variabile, costi fissi di lavoro e costo pieno</t>
  </si>
  <si>
    <t>Grammatura film BOPP 30 µm (g/m²)</t>
  </si>
  <si>
    <t>Preventivatore</t>
  </si>
  <si>
    <t>Offerta per tiratura e curva delle economie di scala</t>
  </si>
  <si>
    <t>Densità 0,91 g/cm³</t>
  </si>
  <si>
    <t>Sensitivita</t>
  </si>
  <si>
    <t>Effetto combinato prezzo carta × tiratura</t>
  </si>
  <si>
    <t>Bustine per espositore</t>
  </si>
  <si>
    <t>Listino a scaglioni e scoring pesato</t>
  </si>
  <si>
    <t>Produzione interna vs esterna</t>
  </si>
  <si>
    <t>Figurina olografica e bustina plastic-free</t>
  </si>
  <si>
    <t>Legenda: testo blu su fondo giallo = input modificabile · nero = formula · fondo azzurro = totali.</t>
  </si>
  <si>
    <t>macchina + 2 addetti</t>
  </si>
  <si>
    <t>Energia di stampa</t>
  </si>
  <si>
    <t>kWh</t>
  </si>
  <si>
    <t>ore × kW</t>
  </si>
  <si>
    <t>Plastificazione copertina</t>
  </si>
  <si>
    <t>pz</t>
  </si>
  <si>
    <t>Stima listino terzisti</t>
  </si>
  <si>
    <t>Legatoria punto metallico + rifilo</t>
  </si>
  <si>
    <t>Costo variabile album</t>
  </si>
  <si>
    <t xml:space="preserve">  di cui carta e cartoncino</t>
  </si>
  <si>
    <t>Costi fissi di lavoro album (avviamento + lastre)</t>
  </si>
  <si>
    <t>€ per lavoro, indipendente dalla tiratura</t>
  </si>
  <si>
    <t>B. BUSTINA (6 figurine autoadesive)</t>
  </si>
  <si>
    <t>Fogli macchina figurine</t>
  </si>
  <si>
    <t>Carta autoadesiva</t>
  </si>
  <si>
    <t>m²</t>
  </si>
  <si>
    <t>+25% per retro 1 colore</t>
  </si>
  <si>
    <t>Tempo macchina stampa</t>
  </si>
  <si>
    <t>Fustellatura mezzo taglio e taglio</t>
  </si>
  <si>
    <t>bustina</t>
  </si>
  <si>
    <t>m² × g/m² → t</t>
  </si>
  <si>
    <t>Stampa flessografica film</t>
  </si>
  <si>
    <t>Stima terzista</t>
  </si>
  <si>
    <t>Imbustamento flow-pack</t>
  </si>
  <si>
    <t>Analisi di sensitività – costo pieno album</t>
  </si>
  <si>
    <t>Righe: variazione prezzo carta/cartoncino. Colonne: tiratura. Valori in €/album.</t>
  </si>
  <si>
    <t>12.000 bustine/h; macchina 30 €/h</t>
  </si>
  <si>
    <t>Δ prezzo carta \ Tiratura</t>
  </si>
  <si>
    <t>Espositore da banco (quota)</t>
  </si>
  <si>
    <t>espositore</t>
  </si>
  <si>
    <t>Prezzo espositore stimato</t>
  </si>
  <si>
    <t>Costo variabile bustina</t>
  </si>
  <si>
    <t xml:space="preserve">  di cui carta autoadesiva</t>
  </si>
  <si>
    <t>Costi fissi di lavoro bustine</t>
  </si>
  <si>
    <t>C. Tiratura di riferimento e costo pieno</t>
  </si>
  <si>
    <t>Tiratura di riferimento (pz)</t>
  </si>
  <si>
    <t>Costo industriale unitario</t>
  </si>
  <si>
    <t>Costo pieno (con overhead)</t>
  </si>
  <si>
    <t>Prezzo al pubblico</t>
  </si>
  <si>
    <t>Ricavo netto editore stimato</t>
  </si>
  <si>
    <t>Incidenza costo pieno sul ricavo netto</t>
  </si>
  <si>
    <t>Il margine residuo copre licenze, marketing, logistica e utile: voci escluse dal perimetro dell'analisi.</t>
  </si>
  <si>
    <t>Preventivatore e curva di costo</t>
  </si>
  <si>
    <t>Inserisci tiratura e ricarico: il preventivo si aggiorna. Tabella sotto = economie di scala.</t>
  </si>
  <si>
    <t>Prodotto</t>
  </si>
  <si>
    <t>Tiratura richiesta (pz)</t>
  </si>
  <si>
    <t>Ricarico commerciale</t>
  </si>
  <si>
    <t>Costo variabile unitario</t>
  </si>
  <si>
    <t>Costi fissi di lavoro</t>
  </si>
  <si>
    <t>Costo pieno unitario</t>
  </si>
  <si>
    <t>Prezzo unitario di offerta</t>
  </si>
  <si>
    <t>Valore totale preventivo</t>
  </si>
  <si>
    <t>Margine lordo del lavoro</t>
  </si>
  <si>
    <t>Make or buy – stampa figurine</t>
  </si>
  <si>
    <t>Confronto tra produzione interna (costi da Scheda_Costi) e acquisto da stampatore esterno.</t>
  </si>
  <si>
    <t>Tiratura</t>
  </si>
  <si>
    <t>Listino e valutazione fornitori esterni – espositore da banco</t>
  </si>
  <si>
    <t>Prezzo esterno per 1.000 figurine stampate e fustellate (€)</t>
  </si>
  <si>
    <t>Costo pieno album (€)</t>
  </si>
  <si>
    <t>Costo pieno bustina (€)</t>
  </si>
  <si>
    <t>Incidenza fissi bustina</t>
  </si>
  <si>
    <t>Fornitori fittizi. Punteggio pesato: pesi modificabili (somma = 100%).</t>
  </si>
  <si>
    <t>Quota interna variabile per bustina (solo figurine)</t>
  </si>
  <si>
    <t>Criterio</t>
  </si>
  <si>
    <t>Peso</t>
  </si>
  <si>
    <t>Prezzo</t>
  </si>
  <si>
    <t>Lettura: a tirature basse pesa l'avviamento; a tirature alte il costo è guidato dalla carta, quindi la negoziazione sulle materie prime diventa la leva principale.</t>
  </si>
  <si>
    <t>Costi fissi interni per lavoro</t>
  </si>
  <si>
    <t>Lead time</t>
  </si>
  <si>
    <t>Costo esterno per bustina (solo figurine)</t>
  </si>
  <si>
    <t>Qualità (difettosità)</t>
  </si>
  <si>
    <t>Puntualità consegne</t>
  </si>
  <si>
    <t>Tiratura di pareggio (bustine)</t>
  </si>
  <si>
    <t>Totale</t>
  </si>
  <si>
    <t>Fornitore</t>
  </si>
  <si>
    <t>Costo interno (€)</t>
  </si>
  <si>
    <t>Prezzo 1–9.999 pz (€)</t>
  </si>
  <si>
    <t>Costo esterno (€)</t>
  </si>
  <si>
    <t>Prezzo 10.000–49.999 (€)</t>
  </si>
  <si>
    <t>Scelta</t>
  </si>
  <si>
    <t>Prezzo ≥ 50.000 (€)</t>
  </si>
  <si>
    <t>Lead time (gg)</t>
  </si>
  <si>
    <t>Difettosità (ppm)</t>
  </si>
  <si>
    <t>Puntualità (%)</t>
  </si>
  <si>
    <t>Punteggio prezzo</t>
  </si>
  <si>
    <t>Punteggio lead time</t>
  </si>
  <si>
    <t>Punteggio qualità</t>
  </si>
  <si>
    <t>Punteggio puntualità</t>
  </si>
  <si>
    <t>Punteggio totale</t>
  </si>
  <si>
    <t>Classifica</t>
  </si>
  <si>
    <t>Fornitore Alfa – Emilia</t>
  </si>
  <si>
    <t>Fattori qualitativi: capacità produttiva disponibile, riservatezza sulle collezioni, tempi di reazione per ristampe, controllo qualità del colore.</t>
  </si>
  <si>
    <t>Fornitore Beta – Lombardia</t>
  </si>
  <si>
    <t>Fornitore Gamma – Est Europa</t>
  </si>
  <si>
    <t>Costo annuo per fascia</t>
  </si>
  <si>
    <t>Fabbisogno annuo espositori</t>
  </si>
  <si>
    <t>Costo annuo (€)</t>
  </si>
  <si>
    <t>Δ vs migliore (€)</t>
  </si>
  <si>
    <t>Lettura: Gamma è il più economico ma Alfa vince sul punteggio pesato. Il risparmio annuo di Gamma va confrontato con lead time più che doppio e difettosità tripla (rischio di fermi e resi).</t>
  </si>
  <si>
    <t>Studio nuovi prodotti – impatto sul costo della bustina</t>
  </si>
  <si>
    <t>Due varianti valutate rispetto alla bustina standard.</t>
  </si>
  <si>
    <t>Variante</t>
  </si>
  <si>
    <t>Δ costo per bustina (€)</t>
  </si>
  <si>
    <t>Δ % sul costo variabile</t>
  </si>
  <si>
    <t>1. Figurina olografica</t>
  </si>
  <si>
    <t>Sovrapprezzo film olografico (€/m²)</t>
  </si>
  <si>
    <t>Area figurina 5×7 cm; costo spalmato su N bustine</t>
  </si>
  <si>
    <t>Frequenza (1 ogni N bustine)</t>
  </si>
  <si>
    <t>2. Bustina in carta (plastic-free)</t>
  </si>
  <si>
    <t>Carta barriera flessibile (€/t)</t>
  </si>
  <si>
    <t>Sostituisce il film BOPP; saldatura a freddo da verificare con i fornitori</t>
  </si>
  <si>
    <t>Grammatura (g/m²)</t>
  </si>
  <si>
    <t>Rallentamento imbustamento</t>
  </si>
  <si>
    <t>Velocità macchina ridotta del 20%</t>
  </si>
  <si>
    <t>Totale variante 2</t>
  </si>
  <si>
    <t>Valutazione: prezzo carta barriera e sovrapprezzo olografico sono stime, da validare con richieste di offerta a 2–3 fornitori prima di una decisione.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</si>
</sst>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&quot;€ &quot;#,##0.000"/>
    <numFmt numFmtId="165" formatCode="#,##0.00000"/>
    <numFmt numFmtId="166" formatCode="&quot;€ &quot;#,##0.0000"/>
    <numFmt numFmtId="167" formatCode="#,##0.0000"/>
    <numFmt numFmtId="168" formatCode="0.0%"/>
    <numFmt numFmtId="169" formatCode="#,##0.000"/>
    <numFmt numFmtId="170" formatCode="&quot;€ +&quot;0.0000"/>
    <numFmt numFmtId="171" formatCode="&quot;€ +&quot;0.0000;&quot;€ -&quot;0.0000"/>
    <numFmt numFmtId="172" formatCode="&quot;€ &quot;#,##0.00"/>
    <numFmt numFmtId="173" formatCode="\+0%;\-0%;0%"/>
    <numFmt numFmtId="174" formatCode="&quot;€ &quot;#,##0"/>
    <numFmt numFmtId="175" formatCode="&quot;€ &quot;0.00"/>
    <numFmt numFmtId="176" formatCode="0.0"/>
    <numFmt numFmtId="177" formatCode="\+0.0%;\-0.0%"/>
  </numFmts>
  <fonts count="14">
    <font>
      <sz val="11.0"/>
      <color theme="1"/>
      <name val="Calibri"/>
      <scheme val="minor"/>
    </font>
    <font>
      <b/>
      <sz val="16.0"/>
      <color rgb="FF1F3A5F"/>
      <name val="Arial"/>
    </font>
    <font>
      <sz val="10.0"/>
      <color theme="1"/>
      <name val="Arial"/>
    </font>
    <font>
      <i/>
      <sz val="9.0"/>
      <color rgb="FF667085"/>
      <name val="Arial"/>
    </font>
    <font>
      <b/>
      <sz val="11.0"/>
      <color rgb="FFFFFFFF"/>
      <name val="Arial"/>
    </font>
    <font>
      <b/>
      <sz val="12.0"/>
      <color rgb="FF1F3A5F"/>
      <name val="Arial"/>
    </font>
    <font>
      <sz val="10.0"/>
      <color rgb="FF0000FF"/>
      <name val="Arial"/>
    </font>
    <font>
      <b/>
      <sz val="11.0"/>
      <color rgb="FF1F3A5F"/>
      <name val="Arial"/>
    </font>
    <font>
      <b/>
      <sz val="10.0"/>
      <color theme="1"/>
      <name val="Arial"/>
    </font>
    <font>
      <b/>
      <sz val="11.0"/>
      <color rgb="FF0000FF"/>
      <name val="Arial"/>
    </font>
    <font>
      <sz val="11.0"/>
      <color theme="1"/>
      <name val="Arial"/>
    </font>
    <font>
      <b/>
      <sz val="11.0"/>
      <color theme="1"/>
      <name val="Arial"/>
    </font>
    <font>
      <i/>
      <sz val="10.0"/>
      <color theme="1"/>
      <name val="Arial"/>
    </font>
    <font>
      <sz val="11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FF4DC"/>
        <bgColor rgb="FFFFF4DC"/>
      </patternFill>
    </fill>
    <fill>
      <patternFill patternType="solid">
        <fgColor rgb="FFE7EEF7"/>
        <bgColor rgb="FFE7EEF7"/>
      </patternFill>
    </fill>
  </fills>
  <borders count="4">
    <border/>
    <border>
      <left/>
      <right/>
      <top/>
      <bottom/>
    </border>
    <border>
      <bottom style="thin">
        <color rgb="FFD0D5DD"/>
      </bottom>
    </border>
    <border>
      <left/>
      <right/>
      <top/>
      <bottom style="thin">
        <color rgb="FFD0D5DD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3" fillId="3" fontId="6" numFmtId="4" xfId="0" applyAlignment="1" applyBorder="1" applyFill="1" applyFont="1" applyNumberFormat="1">
      <alignment shrinkToFit="0" vertical="bottom" wrapText="0"/>
    </xf>
    <xf borderId="2" fillId="0" fontId="2" numFmtId="0" xfId="0" applyAlignment="1" applyBorder="1" applyFont="1">
      <alignment shrinkToFit="0" vertical="top" wrapText="1"/>
    </xf>
    <xf borderId="2" fillId="0" fontId="7" numFmtId="164" xfId="0" applyAlignment="1" applyBorder="1" applyFont="1" applyNumberFormat="1">
      <alignment shrinkToFit="0" vertical="bottom" wrapText="0"/>
    </xf>
    <xf borderId="3" fillId="3" fontId="6" numFmtId="9" xfId="0" applyAlignment="1" applyBorder="1" applyFill="1" applyFont="1" applyNumberFormat="1">
      <alignment shrinkToFit="0" vertical="bottom" wrapText="0"/>
    </xf>
    <xf borderId="2" fillId="0" fontId="2" numFmtId="165" xfId="0" applyAlignment="1" applyBorder="1" applyFont="1" applyNumberFormat="1">
      <alignment shrinkToFit="0" vertical="bottom" wrapText="0"/>
    </xf>
    <xf borderId="2" fillId="0" fontId="7" numFmtId="166" xfId="0" applyAlignment="1" applyBorder="1" applyFont="1" applyNumberFormat="1">
      <alignment shrinkToFit="0" vertical="bottom" wrapText="0"/>
    </xf>
    <xf borderId="2" fillId="0" fontId="2" numFmtId="167" xfId="0" applyAlignment="1" applyBorder="1" applyFont="1" applyNumberFormat="1">
      <alignment shrinkToFit="0" vertical="bottom" wrapText="0"/>
    </xf>
    <xf borderId="2" fillId="0" fontId="2" numFmtId="4" xfId="0" applyAlignment="1" applyBorder="1" applyFont="1" applyNumberFormat="1">
      <alignment shrinkToFit="0" vertical="bottom" wrapText="0"/>
    </xf>
    <xf borderId="2" fillId="0" fontId="7" numFmtId="168" xfId="0" applyAlignment="1" applyBorder="1" applyFont="1" applyNumberFormat="1">
      <alignment shrinkToFit="0" vertical="bottom" wrapText="0"/>
    </xf>
    <xf borderId="2" fillId="0" fontId="2" numFmtId="166" xfId="0" applyAlignment="1" applyBorder="1" applyFont="1" applyNumberFormat="1">
      <alignment shrinkToFit="0" vertical="bottom" wrapText="0"/>
    </xf>
    <xf borderId="3" fillId="3" fontId="6" numFmtId="169" xfId="0" applyAlignment="1" applyBorder="1" applyFill="1" applyFont="1" applyNumberFormat="1">
      <alignment shrinkToFit="0" vertical="bottom" wrapText="0"/>
    </xf>
    <xf borderId="2" fillId="0" fontId="7" numFmtId="3" xfId="0" applyAlignment="1" applyBorder="1" applyFont="1" applyNumberFormat="1">
      <alignment shrinkToFit="0" vertical="bottom" wrapText="0"/>
    </xf>
    <xf borderId="3" fillId="3" fontId="2" numFmtId="0" xfId="0" applyAlignment="1" applyBorder="1" applyFill="1" applyFont="1">
      <alignment shrinkToFit="0" vertical="bottom" wrapText="0"/>
    </xf>
    <xf borderId="2" fillId="0" fontId="7" numFmtId="49" xfId="0" applyAlignment="1" applyBorder="1" applyFont="1" applyNumberFormat="1">
      <alignment shrinkToFit="0" vertical="bottom" wrapText="0"/>
    </xf>
    <xf borderId="2" fillId="0" fontId="7" numFmtId="170" xfId="0" applyAlignment="1" applyBorder="1" applyFont="1" applyNumberFormat="1">
      <alignment shrinkToFit="0" vertical="bottom" wrapText="0"/>
    </xf>
    <xf borderId="2" fillId="0" fontId="7" numFmtId="171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3" fillId="3" fontId="6" numFmtId="167" xfId="0" applyAlignment="1" applyBorder="1" applyFill="1" applyFont="1" applyNumberFormat="1">
      <alignment shrinkToFit="0" vertical="bottom" wrapText="0"/>
    </xf>
    <xf borderId="3" fillId="4" fontId="8" numFmtId="0" xfId="0" applyAlignment="1" applyBorder="1" applyFill="1" applyFont="1">
      <alignment shrinkToFit="0" vertical="bottom" wrapText="0"/>
    </xf>
    <xf borderId="3" fillId="4" fontId="8" numFmtId="166" xfId="0" applyAlignment="1" applyBorder="1" applyFill="1" applyFont="1" applyNumberFormat="1">
      <alignment shrinkToFit="0" vertical="bottom" wrapText="0"/>
    </xf>
    <xf borderId="3" fillId="4" fontId="8" numFmtId="172" xfId="0" applyAlignment="1" applyBorder="1" applyFill="1" applyFont="1" applyNumberForma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4" numFmtId="3" xfId="0" applyAlignment="1" applyBorder="1" applyFill="1" applyFont="1" applyNumberFormat="1">
      <alignment shrinkToFit="0" vertical="bottom" wrapText="0"/>
    </xf>
    <xf borderId="1" fillId="3" fontId="9" numFmtId="173" xfId="0" applyAlignment="1" applyBorder="1" applyFill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3" fillId="3" fontId="2" numFmtId="3" xfId="0" applyAlignment="1" applyBorder="1" applyFill="1" applyFont="1" applyNumberFormat="1">
      <alignment shrinkToFit="0" vertical="bottom" wrapText="0"/>
    </xf>
    <xf borderId="2" fillId="0" fontId="2" numFmtId="168" xfId="0" applyAlignment="1" applyBorder="1" applyFont="1" applyNumberFormat="1">
      <alignment shrinkToFit="0" vertical="bottom" wrapText="0"/>
    </xf>
    <xf borderId="2" fillId="0" fontId="10" numFmtId="0" xfId="0" applyAlignment="1" applyBorder="1" applyFont="1">
      <alignment shrinkToFit="0" vertical="bottom" wrapText="0"/>
    </xf>
    <xf borderId="3" fillId="3" fontId="9" numFmtId="0" xfId="0" applyAlignment="1" applyBorder="1" applyFill="1" applyFont="1">
      <alignment shrinkToFit="0" vertical="bottom" wrapText="0"/>
    </xf>
    <xf borderId="3" fillId="3" fontId="9" numFmtId="3" xfId="0" applyAlignment="1" applyBorder="1" applyFill="1" applyFont="1" applyNumberFormat="1">
      <alignment shrinkToFit="0" vertical="bottom" wrapText="0"/>
    </xf>
    <xf borderId="2" fillId="0" fontId="2" numFmtId="9" xfId="0" applyAlignment="1" applyBorder="1" applyFont="1" applyNumberFormat="1">
      <alignment shrinkToFit="0" vertical="bottom" wrapText="0"/>
    </xf>
    <xf borderId="2" fillId="0" fontId="2" numFmtId="174" xfId="0" applyAlignment="1" applyBorder="1" applyFont="1" applyNumberFormat="1">
      <alignment shrinkToFit="0" vertical="bottom" wrapText="0"/>
    </xf>
    <xf borderId="2" fillId="0" fontId="11" numFmtId="0" xfId="0" applyAlignment="1" applyBorder="1" applyFont="1">
      <alignment shrinkToFit="0" vertical="bottom" wrapText="0"/>
    </xf>
    <xf borderId="3" fillId="4" fontId="2" numFmtId="166" xfId="0" applyAlignment="1" applyBorder="1" applyFill="1" applyFont="1" applyNumberFormat="1">
      <alignment shrinkToFit="0" vertical="bottom" wrapText="0"/>
    </xf>
    <xf borderId="3" fillId="4" fontId="2" numFmtId="174" xfId="0" applyAlignment="1" applyBorder="1" applyFill="1" applyFont="1" applyNumberFormat="1">
      <alignment shrinkToFit="0" vertical="bottom" wrapText="0"/>
    </xf>
    <xf borderId="2" fillId="0" fontId="2" numFmtId="3" xfId="0" applyAlignment="1" applyBorder="1" applyFont="1" applyNumberFormat="1">
      <alignment shrinkToFit="0" vertical="bottom" wrapText="0"/>
    </xf>
    <xf borderId="3" fillId="3" fontId="2" numFmtId="9" xfId="0" applyAlignment="1" applyBorder="1" applyFill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3" fillId="4" fontId="8" numFmtId="9" xfId="0" applyAlignment="1" applyBorder="1" applyFill="1" applyFont="1" applyNumberFormat="1">
      <alignment shrinkToFit="0" vertical="bottom" wrapText="0"/>
    </xf>
    <xf borderId="3" fillId="4" fontId="2" numFmtId="3" xfId="0" applyAlignment="1" applyBorder="1" applyFill="1" applyFont="1" applyNumberFormat="1">
      <alignment shrinkToFit="0" vertical="bottom" wrapText="0"/>
    </xf>
    <xf borderId="3" fillId="3" fontId="2" numFmtId="175" xfId="0" applyAlignment="1" applyBorder="1" applyFill="1" applyFont="1" applyNumberFormat="1">
      <alignment shrinkToFit="0" vertical="bottom" wrapText="0"/>
    </xf>
    <xf borderId="2" fillId="0" fontId="2" numFmtId="176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3" fontId="13" numFmtId="3" xfId="0" applyAlignment="1" applyBorder="1" applyFill="1" applyFont="1" applyNumberFormat="1">
      <alignment shrinkToFit="0" vertical="bottom" wrapText="0"/>
    </xf>
    <xf borderId="2" fillId="0" fontId="2" numFmtId="171" xfId="0" applyAlignment="1" applyBorder="1" applyFont="1" applyNumberFormat="1">
      <alignment shrinkToFit="0" vertical="bottom" wrapText="0"/>
    </xf>
    <xf borderId="2" fillId="0" fontId="2" numFmtId="177" xfId="0" applyAlignment="1" applyBorder="1" applyFont="1" applyNumberFormat="1">
      <alignment shrinkToFit="0" vertical="bottom" wrapText="0"/>
    </xf>
    <xf borderId="3" fillId="4" fontId="8" numFmtId="171" xfId="0" applyAlignment="1" applyBorder="1" applyFill="1" applyFont="1" applyNumberFormat="1">
      <alignment shrinkToFit="0" vertical="bottom" wrapText="0"/>
    </xf>
    <xf borderId="3" fillId="4" fontId="8" numFmtId="177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Costo pieno unitario bustina vs tiratura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Costo pieno bustina (€)</c:v>
          </c:tx>
          <c:spPr>
            <a:ln cmpd="sng" w="19050">
              <a:solidFill>
                <a:srgbClr val="1F3A5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Preventivatore!$A$17:$A$24</c:f>
            </c:strRef>
          </c:cat>
          <c:val>
            <c:numRef>
              <c:f>Preventivatore!$C$17:$C$24</c:f>
              <c:numCache/>
            </c:numRef>
          </c:val>
          <c:smooth val="1"/>
        </c:ser>
        <c:axId val="1426388402"/>
        <c:axId val="1533630951"/>
      </c:lineChart>
      <c:catAx>
        <c:axId val="1426388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Tiratura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3630951"/>
      </c:catAx>
      <c:valAx>
        <c:axId val="1533630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€ / bustina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2638840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Punteggio pesato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Punteggio totale</c:v>
          </c:tx>
          <c:spPr>
            <a:solidFill>
              <a:srgbClr val="1F3A5F"/>
            </a:solidFill>
            <a:ln cmpd="sng">
              <a:noFill/>
            </a:ln>
          </c:spPr>
          <c:cat>
            <c:strRef>
              <c:f>Fornitori!$A$12:$A$14</c:f>
            </c:strRef>
          </c:cat>
          <c:val>
            <c:numRef>
              <c:f>Fornitori!$L$12:$L$14</c:f>
              <c:numCache/>
            </c:numRef>
          </c:val>
        </c:ser>
        <c:axId val="545133671"/>
        <c:axId val="973938475"/>
      </c:barChart>
      <c:catAx>
        <c:axId val="545133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73938475"/>
      </c:catAx>
      <c:valAx>
        <c:axId val="973938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45133671"/>
      </c:valAx>
    </c:plotArea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123825</xdr:rowOff>
    </xdr:from>
    <xdr:ext cx="5476875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14</xdr:row>
      <xdr:rowOff>9525</xdr:rowOff>
    </xdr:from>
    <xdr:ext cx="4810125" cy="2476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8.0"/>
    <col customWidth="1" min="2" max="2" width="30.0"/>
    <col customWidth="1" min="3" max="3" width="20.0"/>
    <col customWidth="1" min="4" max="26" width="8.71"/>
  </cols>
  <sheetData>
    <row r="1">
      <c r="A1" s="1" t="s">
        <v>1</v>
      </c>
      <c r="B1" s="2"/>
      <c r="C1" s="2"/>
    </row>
    <row r="2">
      <c r="A2" s="3" t="s">
        <v>5</v>
      </c>
      <c r="B2" s="2"/>
      <c r="C2" s="2"/>
    </row>
    <row r="3">
      <c r="A3" s="2"/>
      <c r="B3" s="2"/>
      <c r="C3" s="2"/>
    </row>
    <row r="4">
      <c r="A4" s="4" t="s">
        <v>7</v>
      </c>
      <c r="B4" s="4" t="s">
        <v>11</v>
      </c>
      <c r="C4" s="4" t="s">
        <v>12</v>
      </c>
    </row>
    <row r="5">
      <c r="A5" s="5" t="s">
        <v>15</v>
      </c>
      <c r="B5" s="9">
        <f>Scheda_Costi!B39</f>
        <v>0.6518758006</v>
      </c>
      <c r="C5" s="5" t="s">
        <v>45</v>
      </c>
    </row>
    <row r="6">
      <c r="A6" s="5" t="s">
        <v>48</v>
      </c>
      <c r="B6" s="12">
        <f>Scheda_Costi!C39</f>
        <v>0.04074779077</v>
      </c>
      <c r="C6" s="5" t="s">
        <v>45</v>
      </c>
    </row>
    <row r="7">
      <c r="A7" s="5" t="s">
        <v>66</v>
      </c>
      <c r="B7" s="15">
        <f>Scheda_Costi!C42</f>
        <v>0.06268890888</v>
      </c>
      <c r="C7" s="5" t="s">
        <v>45</v>
      </c>
    </row>
    <row r="8">
      <c r="A8" s="5" t="s">
        <v>79</v>
      </c>
      <c r="B8" s="15">
        <f>Scheda_Costi!E17/Scheda_Costi!E16</f>
        <v>0.6286882308</v>
      </c>
      <c r="C8" s="5" t="s">
        <v>45</v>
      </c>
    </row>
    <row r="9">
      <c r="A9" s="5" t="s">
        <v>97</v>
      </c>
      <c r="B9" s="18">
        <f>Make_or_Buy!B9</f>
        <v>12741.11514</v>
      </c>
      <c r="C9" s="5" t="s">
        <v>106</v>
      </c>
    </row>
    <row r="10">
      <c r="A10" s="5" t="s">
        <v>108</v>
      </c>
      <c r="B10" s="20" t="str">
        <f t="array" ref="B10">INDEX(Fornitori!A12:A14,MATCH(1,Fornitori!M12:M14,0))</f>
        <v>Fornitore Alfa – Emilia</v>
      </c>
      <c r="C10" s="5" t="s">
        <v>126</v>
      </c>
    </row>
    <row r="11">
      <c r="A11" s="5" t="s">
        <v>129</v>
      </c>
      <c r="B11" s="21">
        <f>Nuovo_Prodotto!D5</f>
        <v>0.000525</v>
      </c>
      <c r="C11" s="5" t="s">
        <v>142</v>
      </c>
    </row>
    <row r="12">
      <c r="A12" s="5" t="s">
        <v>143</v>
      </c>
      <c r="B12" s="22">
        <f>Nuovo_Prodotto!D12</f>
        <v>0.001717560684</v>
      </c>
      <c r="C12" s="5" t="s">
        <v>142</v>
      </c>
    </row>
    <row r="13">
      <c r="A13" s="2"/>
      <c r="B13" s="2"/>
      <c r="C13" s="2"/>
    </row>
    <row r="14">
      <c r="A14" s="2"/>
      <c r="B14" s="2"/>
      <c r="C14" s="2"/>
    </row>
    <row r="15">
      <c r="A15" s="6" t="s">
        <v>161</v>
      </c>
      <c r="B15" s="2"/>
      <c r="C15" s="2"/>
    </row>
    <row r="16">
      <c r="A16" s="23" t="s">
        <v>165</v>
      </c>
      <c r="B16" s="2" t="s">
        <v>173</v>
      </c>
      <c r="C16" s="2"/>
    </row>
    <row r="17">
      <c r="A17" s="23" t="s">
        <v>175</v>
      </c>
      <c r="B17" s="2" t="s">
        <v>176</v>
      </c>
      <c r="C17" s="2"/>
    </row>
    <row r="18">
      <c r="A18" s="23" t="s">
        <v>45</v>
      </c>
      <c r="B18" s="2" t="s">
        <v>180</v>
      </c>
      <c r="C18" s="2"/>
    </row>
    <row r="19">
      <c r="A19" s="23" t="s">
        <v>182</v>
      </c>
      <c r="B19" s="2" t="s">
        <v>183</v>
      </c>
      <c r="C19" s="2"/>
    </row>
    <row r="20">
      <c r="A20" s="23" t="s">
        <v>185</v>
      </c>
      <c r="B20" s="2" t="s">
        <v>186</v>
      </c>
      <c r="C20" s="2"/>
    </row>
    <row r="21" ht="15.75" customHeight="1">
      <c r="A21" s="23" t="s">
        <v>126</v>
      </c>
      <c r="B21" s="2" t="s">
        <v>188</v>
      </c>
      <c r="C21" s="2"/>
    </row>
    <row r="22" ht="15.75" customHeight="1">
      <c r="A22" s="23" t="s">
        <v>106</v>
      </c>
      <c r="B22" s="2" t="s">
        <v>189</v>
      </c>
      <c r="C22" s="2"/>
    </row>
    <row r="23" ht="15.75" customHeight="1">
      <c r="A23" s="23" t="s">
        <v>142</v>
      </c>
      <c r="B23" s="2" t="s">
        <v>190</v>
      </c>
      <c r="C23" s="2"/>
    </row>
    <row r="24" ht="15.75" customHeight="1">
      <c r="A24" s="2"/>
      <c r="B24" s="2"/>
      <c r="C24" s="2"/>
    </row>
    <row r="25" ht="15.75" customHeight="1">
      <c r="A25" s="3" t="s">
        <v>191</v>
      </c>
      <c r="B25" s="2"/>
      <c r="C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2.0"/>
    <col customWidth="1" min="2" max="2" width="12.0"/>
    <col customWidth="1" min="3" max="3" width="14.0"/>
    <col customWidth="1" min="4" max="4" width="11.0"/>
    <col customWidth="1" min="5" max="5" width="90.0"/>
    <col customWidth="1" min="6" max="26" width="8.71"/>
  </cols>
  <sheetData>
    <row r="1">
      <c r="A1" s="1" t="s">
        <v>0</v>
      </c>
      <c r="B1" s="2"/>
      <c r="C1" s="2"/>
      <c r="D1" s="2"/>
      <c r="E1" s="2"/>
    </row>
    <row r="2">
      <c r="A2" s="3" t="s">
        <v>4</v>
      </c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4" t="s">
        <v>8</v>
      </c>
      <c r="B4" s="4" t="s">
        <v>11</v>
      </c>
      <c r="C4" s="4" t="s">
        <v>14</v>
      </c>
      <c r="D4" s="4" t="s">
        <v>19</v>
      </c>
      <c r="E4" s="4" t="s">
        <v>20</v>
      </c>
    </row>
    <row r="5">
      <c r="A5" s="5" t="s">
        <v>22</v>
      </c>
      <c r="B5" s="7">
        <v>1031.0</v>
      </c>
      <c r="C5" s="5" t="s">
        <v>33</v>
      </c>
      <c r="D5" s="5" t="s">
        <v>34</v>
      </c>
      <c r="E5" s="8" t="s">
        <v>35</v>
      </c>
    </row>
    <row r="6">
      <c r="A6" s="5" t="s">
        <v>37</v>
      </c>
      <c r="B6" s="10">
        <v>0.05</v>
      </c>
      <c r="C6" s="5" t="s">
        <v>50</v>
      </c>
      <c r="D6" s="5" t="s">
        <v>52</v>
      </c>
      <c r="E6" s="8" t="s">
        <v>54</v>
      </c>
    </row>
    <row r="7">
      <c r="A7" s="5" t="s">
        <v>55</v>
      </c>
      <c r="B7" s="14">
        <f>B5*(1+B6)</f>
        <v>1082.55</v>
      </c>
      <c r="C7" s="5" t="s">
        <v>33</v>
      </c>
      <c r="D7" s="5" t="s">
        <v>73</v>
      </c>
      <c r="E7" s="8" t="s">
        <v>75</v>
      </c>
    </row>
    <row r="8">
      <c r="A8" s="5" t="s">
        <v>77</v>
      </c>
      <c r="B8" s="14">
        <f>Ipotesi!$B$7*(1+Ipotesi!$B$9)</f>
        <v>1407.315</v>
      </c>
      <c r="C8" s="5" t="s">
        <v>33</v>
      </c>
      <c r="D8" s="5" t="s">
        <v>52</v>
      </c>
      <c r="E8" s="8" t="s">
        <v>96</v>
      </c>
    </row>
    <row r="9">
      <c r="A9" s="5" t="s">
        <v>98</v>
      </c>
      <c r="B9" s="10">
        <v>0.3</v>
      </c>
      <c r="C9" s="5" t="s">
        <v>50</v>
      </c>
      <c r="D9" s="5" t="s">
        <v>52</v>
      </c>
      <c r="E9" s="8" t="s">
        <v>99</v>
      </c>
    </row>
    <row r="10">
      <c r="A10" s="5" t="s">
        <v>100</v>
      </c>
      <c r="B10" s="17">
        <v>0.55</v>
      </c>
      <c r="C10" s="5" t="s">
        <v>103</v>
      </c>
      <c r="D10" s="5" t="s">
        <v>52</v>
      </c>
      <c r="E10" s="8" t="s">
        <v>105</v>
      </c>
    </row>
    <row r="11">
      <c r="A11" s="5" t="s">
        <v>107</v>
      </c>
      <c r="B11" s="7">
        <v>2653.0</v>
      </c>
      <c r="C11" s="5" t="s">
        <v>109</v>
      </c>
      <c r="D11" s="5" t="s">
        <v>34</v>
      </c>
      <c r="E11" s="8" t="s">
        <v>110</v>
      </c>
    </row>
    <row r="12">
      <c r="A12" s="5" t="s">
        <v>111</v>
      </c>
      <c r="B12" s="7">
        <v>1.16</v>
      </c>
      <c r="C12" s="5" t="s">
        <v>112</v>
      </c>
      <c r="D12" s="5" t="s">
        <v>52</v>
      </c>
      <c r="E12" s="8" t="s">
        <v>113</v>
      </c>
    </row>
    <row r="13">
      <c r="A13" s="5" t="s">
        <v>115</v>
      </c>
      <c r="B13" s="14">
        <f>B11/B12</f>
        <v>2287.068966</v>
      </c>
      <c r="C13" s="5" t="s">
        <v>33</v>
      </c>
      <c r="D13" s="5" t="s">
        <v>73</v>
      </c>
      <c r="E13" s="8" t="s">
        <v>118</v>
      </c>
    </row>
    <row r="14">
      <c r="A14" s="5" t="s">
        <v>119</v>
      </c>
      <c r="B14" s="17">
        <v>0.265</v>
      </c>
      <c r="C14" s="5" t="s">
        <v>120</v>
      </c>
      <c r="D14" s="5" t="s">
        <v>34</v>
      </c>
      <c r="E14" s="8" t="s">
        <v>121</v>
      </c>
    </row>
    <row r="15">
      <c r="A15" s="5" t="s">
        <v>122</v>
      </c>
      <c r="B15" s="7">
        <v>25.0</v>
      </c>
      <c r="C15" s="5" t="s">
        <v>124</v>
      </c>
      <c r="D15" s="5" t="s">
        <v>52</v>
      </c>
      <c r="E15" s="8" t="s">
        <v>125</v>
      </c>
    </row>
    <row r="16">
      <c r="A16" s="5" t="s">
        <v>127</v>
      </c>
      <c r="B16" s="7">
        <v>60.0</v>
      </c>
      <c r="C16" s="5" t="s">
        <v>124</v>
      </c>
      <c r="D16" s="5" t="s">
        <v>52</v>
      </c>
      <c r="E16" s="8" t="s">
        <v>131</v>
      </c>
    </row>
    <row r="17">
      <c r="A17" s="5" t="s">
        <v>133</v>
      </c>
      <c r="B17" s="7">
        <v>80.0</v>
      </c>
      <c r="C17" s="5" t="s">
        <v>135</v>
      </c>
      <c r="D17" s="5" t="s">
        <v>52</v>
      </c>
      <c r="E17" s="8" t="s">
        <v>136</v>
      </c>
    </row>
    <row r="18">
      <c r="A18" s="5" t="s">
        <v>137</v>
      </c>
      <c r="B18" s="7">
        <v>9000.0</v>
      </c>
      <c r="C18" s="5" t="s">
        <v>138</v>
      </c>
      <c r="D18" s="5" t="s">
        <v>52</v>
      </c>
      <c r="E18" s="8"/>
    </row>
    <row r="19">
      <c r="A19" s="5" t="s">
        <v>140</v>
      </c>
      <c r="B19" s="7">
        <v>12.0</v>
      </c>
      <c r="C19" s="5" t="s">
        <v>141</v>
      </c>
      <c r="D19" s="5" t="s">
        <v>52</v>
      </c>
      <c r="E19" s="8"/>
    </row>
    <row r="20">
      <c r="A20" s="5" t="s">
        <v>144</v>
      </c>
      <c r="B20" s="7">
        <v>1.6</v>
      </c>
      <c r="C20" s="5" t="s">
        <v>146</v>
      </c>
      <c r="D20" s="5" t="s">
        <v>52</v>
      </c>
      <c r="E20" s="8"/>
    </row>
    <row r="21" ht="15.75" customHeight="1">
      <c r="A21" s="5" t="s">
        <v>148</v>
      </c>
      <c r="B21" s="7">
        <v>12.0</v>
      </c>
      <c r="C21" s="5" t="s">
        <v>149</v>
      </c>
      <c r="D21" s="5" t="s">
        <v>52</v>
      </c>
      <c r="E21" s="8"/>
    </row>
    <row r="22" ht="15.75" customHeight="1">
      <c r="A22" s="5" t="s">
        <v>150</v>
      </c>
      <c r="B22" s="7">
        <v>3.0</v>
      </c>
      <c r="C22" s="5" t="s">
        <v>152</v>
      </c>
      <c r="D22" s="5" t="s">
        <v>52</v>
      </c>
      <c r="E22" s="8" t="s">
        <v>154</v>
      </c>
    </row>
    <row r="23" ht="15.75" customHeight="1">
      <c r="A23" s="5" t="s">
        <v>156</v>
      </c>
      <c r="B23" s="10">
        <v>0.05</v>
      </c>
      <c r="C23" s="5" t="s">
        <v>50</v>
      </c>
      <c r="D23" s="5" t="s">
        <v>52</v>
      </c>
      <c r="E23" s="8"/>
    </row>
    <row r="24" ht="15.75" customHeight="1">
      <c r="A24" s="5" t="s">
        <v>157</v>
      </c>
      <c r="B24" s="10">
        <v>0.15</v>
      </c>
      <c r="C24" s="5" t="s">
        <v>50</v>
      </c>
      <c r="D24" s="5" t="s">
        <v>52</v>
      </c>
      <c r="E24" s="8" t="s">
        <v>159</v>
      </c>
    </row>
    <row r="25" ht="15.75" customHeight="1">
      <c r="A25" s="5" t="s">
        <v>160</v>
      </c>
      <c r="B25" s="10">
        <v>0.25</v>
      </c>
      <c r="C25" s="5" t="s">
        <v>50</v>
      </c>
      <c r="D25" s="5" t="s">
        <v>52</v>
      </c>
      <c r="E25" s="8"/>
    </row>
    <row r="26" ht="15.75" customHeight="1">
      <c r="A26" s="5" t="s">
        <v>162</v>
      </c>
      <c r="B26" s="7">
        <v>1.0</v>
      </c>
      <c r="C26" s="5" t="s">
        <v>164</v>
      </c>
      <c r="D26" s="5" t="s">
        <v>34</v>
      </c>
      <c r="E26" s="8" t="s">
        <v>167</v>
      </c>
    </row>
    <row r="27" ht="15.75" customHeight="1">
      <c r="A27" s="5" t="s">
        <v>169</v>
      </c>
      <c r="B27" s="10">
        <v>0.35</v>
      </c>
      <c r="C27" s="5" t="s">
        <v>50</v>
      </c>
      <c r="D27" s="5" t="s">
        <v>52</v>
      </c>
      <c r="E27" s="8" t="s">
        <v>170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26.0"/>
    <col customWidth="1" min="3" max="3" width="24.0"/>
    <col customWidth="1" min="4" max="4" width="18.0"/>
    <col customWidth="1" min="5" max="5" width="24.0"/>
    <col customWidth="1" min="6" max="6" width="22.0"/>
    <col customWidth="1" min="7" max="7" width="34.0"/>
    <col customWidth="1" min="8" max="8" width="18.0"/>
    <col customWidth="1" min="9" max="26" width="8.71"/>
  </cols>
  <sheetData>
    <row r="1">
      <c r="A1" s="1" t="s">
        <v>3</v>
      </c>
      <c r="B1" s="2"/>
      <c r="C1" s="2"/>
      <c r="D1" s="2"/>
      <c r="E1" s="2"/>
      <c r="F1" s="2"/>
      <c r="G1" s="2"/>
      <c r="H1" s="2"/>
    </row>
    <row r="2">
      <c r="A2" s="3" t="s">
        <v>10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>
      <c r="A4" s="4" t="s">
        <v>21</v>
      </c>
      <c r="B4" s="4" t="s">
        <v>23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</row>
    <row r="5">
      <c r="A5" s="8" t="s">
        <v>32</v>
      </c>
      <c r="B5" s="8" t="s">
        <v>36</v>
      </c>
      <c r="C5" s="8" t="s">
        <v>38</v>
      </c>
      <c r="D5" s="8" t="s">
        <v>39</v>
      </c>
      <c r="E5" s="8" t="s">
        <v>40</v>
      </c>
      <c r="F5" s="8" t="s">
        <v>41</v>
      </c>
      <c r="G5" s="8" t="s">
        <v>42</v>
      </c>
      <c r="H5" s="8" t="s">
        <v>43</v>
      </c>
    </row>
    <row r="6">
      <c r="A6" s="8" t="s">
        <v>32</v>
      </c>
      <c r="B6" s="8" t="s">
        <v>44</v>
      </c>
      <c r="C6" s="8" t="s">
        <v>46</v>
      </c>
      <c r="D6" s="8" t="s">
        <v>47</v>
      </c>
      <c r="E6" s="8" t="s">
        <v>49</v>
      </c>
      <c r="F6" s="8" t="s">
        <v>51</v>
      </c>
      <c r="G6" s="8" t="s">
        <v>53</v>
      </c>
      <c r="H6" s="8" t="s">
        <v>43</v>
      </c>
    </row>
    <row r="7">
      <c r="A7" s="8" t="s">
        <v>32</v>
      </c>
      <c r="B7" s="8" t="s">
        <v>56</v>
      </c>
      <c r="C7" s="8" t="s">
        <v>57</v>
      </c>
      <c r="D7" s="8" t="s">
        <v>58</v>
      </c>
      <c r="E7" s="8" t="s">
        <v>58</v>
      </c>
      <c r="F7" s="8" t="s">
        <v>58</v>
      </c>
      <c r="G7" s="8" t="s">
        <v>59</v>
      </c>
      <c r="H7" s="8" t="s">
        <v>43</v>
      </c>
    </row>
    <row r="8">
      <c r="A8" s="8" t="s">
        <v>61</v>
      </c>
      <c r="B8" s="8" t="s">
        <v>62</v>
      </c>
      <c r="C8" s="8" t="s">
        <v>63</v>
      </c>
      <c r="D8" s="8" t="s">
        <v>64</v>
      </c>
      <c r="E8" s="8" t="s">
        <v>65</v>
      </c>
      <c r="F8" s="8" t="s">
        <v>67</v>
      </c>
      <c r="G8" s="8" t="s">
        <v>68</v>
      </c>
      <c r="H8" s="8" t="s">
        <v>43</v>
      </c>
    </row>
    <row r="9">
      <c r="A9" s="8" t="s">
        <v>69</v>
      </c>
      <c r="B9" s="8" t="s">
        <v>70</v>
      </c>
      <c r="C9" s="8" t="s">
        <v>71</v>
      </c>
      <c r="D9" s="8" t="s">
        <v>58</v>
      </c>
      <c r="E9" s="8" t="s">
        <v>65</v>
      </c>
      <c r="F9" s="8" t="s">
        <v>72</v>
      </c>
      <c r="G9" s="8" t="s">
        <v>74</v>
      </c>
      <c r="H9" s="8" t="s">
        <v>76</v>
      </c>
    </row>
    <row r="10">
      <c r="A10" s="8" t="s">
        <v>78</v>
      </c>
      <c r="B10" s="8" t="s">
        <v>80</v>
      </c>
      <c r="C10" s="8" t="s">
        <v>82</v>
      </c>
      <c r="D10" s="8" t="s">
        <v>83</v>
      </c>
      <c r="E10" s="8" t="s">
        <v>84</v>
      </c>
      <c r="F10" s="8" t="s">
        <v>85</v>
      </c>
      <c r="G10" s="8" t="s">
        <v>87</v>
      </c>
      <c r="H10" s="8" t="s">
        <v>88</v>
      </c>
    </row>
    <row r="11">
      <c r="A11" s="8" t="s">
        <v>89</v>
      </c>
      <c r="B11" s="8" t="s">
        <v>90</v>
      </c>
      <c r="C11" s="8" t="s">
        <v>91</v>
      </c>
      <c r="D11" s="8" t="s">
        <v>92</v>
      </c>
      <c r="E11" s="8" t="s">
        <v>93</v>
      </c>
      <c r="F11" s="8" t="s">
        <v>94</v>
      </c>
      <c r="G11" s="8" t="s">
        <v>95</v>
      </c>
      <c r="H11" s="8" t="s">
        <v>76</v>
      </c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6" t="s">
        <v>104</v>
      </c>
      <c r="B14" s="2"/>
      <c r="C14" s="2"/>
      <c r="D14" s="2"/>
      <c r="E14" s="2"/>
      <c r="F14" s="2"/>
      <c r="G14" s="2"/>
      <c r="H14" s="2"/>
    </row>
    <row r="15">
      <c r="A15" s="4" t="s">
        <v>8</v>
      </c>
      <c r="B15" s="4" t="s">
        <v>11</v>
      </c>
      <c r="C15" s="4" t="s">
        <v>114</v>
      </c>
      <c r="D15" s="2"/>
      <c r="E15" s="2"/>
      <c r="F15" s="2"/>
      <c r="G15" s="2"/>
      <c r="H15" s="2"/>
    </row>
    <row r="16">
      <c r="A16" s="5" t="s">
        <v>117</v>
      </c>
      <c r="B16" s="19">
        <v>0.7</v>
      </c>
      <c r="C16" s="5" t="s">
        <v>123</v>
      </c>
      <c r="D16" s="2"/>
      <c r="E16" s="2"/>
      <c r="F16" s="2"/>
      <c r="G16" s="2"/>
      <c r="H16" s="2"/>
    </row>
    <row r="17">
      <c r="A17" s="5" t="s">
        <v>130</v>
      </c>
      <c r="B17" s="19">
        <v>16.0</v>
      </c>
      <c r="C17" s="5" t="s">
        <v>134</v>
      </c>
      <c r="D17" s="2"/>
      <c r="E17" s="2"/>
      <c r="F17" s="2"/>
      <c r="G17" s="2"/>
      <c r="H17" s="2"/>
    </row>
    <row r="18">
      <c r="A18" s="5" t="s">
        <v>139</v>
      </c>
      <c r="B18" s="19">
        <v>48.0</v>
      </c>
      <c r="C18" s="5"/>
      <c r="D18" s="2"/>
      <c r="E18" s="2"/>
      <c r="F18" s="2"/>
      <c r="G18" s="2"/>
      <c r="H18" s="2"/>
    </row>
    <row r="19">
      <c r="A19" s="5" t="s">
        <v>145</v>
      </c>
      <c r="B19" s="19">
        <v>4.0</v>
      </c>
      <c r="C19" s="5" t="s">
        <v>147</v>
      </c>
      <c r="D19" s="2"/>
      <c r="E19" s="2"/>
      <c r="F19" s="2"/>
      <c r="G19" s="2"/>
      <c r="H19" s="2"/>
    </row>
    <row r="20">
      <c r="A20" s="5" t="s">
        <v>151</v>
      </c>
      <c r="B20" s="19">
        <v>180.0</v>
      </c>
      <c r="C20" s="5" t="s">
        <v>155</v>
      </c>
      <c r="D20" s="2"/>
      <c r="E20" s="2"/>
      <c r="F20" s="2"/>
      <c r="G20" s="2"/>
      <c r="H20" s="2"/>
    </row>
    <row r="21" ht="15.75" customHeight="1">
      <c r="A21" s="5" t="s">
        <v>158</v>
      </c>
      <c r="B21" s="19">
        <v>6.0</v>
      </c>
      <c r="C21" s="5"/>
      <c r="D21" s="2"/>
      <c r="E21" s="2"/>
      <c r="F21" s="2"/>
      <c r="G21" s="2"/>
      <c r="H21" s="2"/>
    </row>
    <row r="22" ht="15.75" customHeight="1">
      <c r="A22" s="5" t="s">
        <v>163</v>
      </c>
      <c r="B22" s="19">
        <v>24.0</v>
      </c>
      <c r="C22" s="5" t="s">
        <v>168</v>
      </c>
      <c r="D22" s="2"/>
      <c r="E22" s="2"/>
      <c r="F22" s="2"/>
      <c r="G22" s="2"/>
      <c r="H22" s="2"/>
    </row>
    <row r="23" ht="15.75" customHeight="1">
      <c r="A23" s="5" t="s">
        <v>171</v>
      </c>
      <c r="B23" s="19">
        <v>8.0</v>
      </c>
      <c r="C23" s="5" t="s">
        <v>172</v>
      </c>
      <c r="D23" s="2"/>
      <c r="E23" s="2"/>
      <c r="F23" s="2"/>
      <c r="G23" s="2"/>
      <c r="H23" s="2"/>
    </row>
    <row r="24" ht="15.75" customHeight="1">
      <c r="A24" s="5" t="s">
        <v>174</v>
      </c>
      <c r="B24" s="19">
        <v>0.0126</v>
      </c>
      <c r="C24" s="5" t="s">
        <v>177</v>
      </c>
      <c r="D24" s="2"/>
      <c r="E24" s="2"/>
      <c r="F24" s="2"/>
      <c r="G24" s="2"/>
      <c r="H24" s="2"/>
    </row>
    <row r="25" ht="15.75" customHeight="1">
      <c r="A25" s="5" t="s">
        <v>181</v>
      </c>
      <c r="B25" s="19">
        <v>27.3</v>
      </c>
      <c r="C25" s="5" t="s">
        <v>184</v>
      </c>
      <c r="D25" s="2"/>
      <c r="E25" s="2"/>
      <c r="F25" s="2"/>
      <c r="G25" s="2"/>
      <c r="H25" s="2"/>
    </row>
    <row r="26" ht="15.75" customHeight="1">
      <c r="A26" s="5" t="s">
        <v>187</v>
      </c>
      <c r="B26" s="19">
        <v>50.0</v>
      </c>
      <c r="C26" s="5"/>
      <c r="D26" s="2"/>
      <c r="E26" s="2"/>
      <c r="F26" s="2"/>
      <c r="G26" s="2"/>
      <c r="H26" s="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2" width="18.0"/>
    <col customWidth="1" min="3" max="3" width="12.0"/>
    <col customWidth="1" min="4" max="5" width="18.0"/>
    <col customWidth="1" min="6" max="6" width="50.0"/>
    <col customWidth="1" min="7" max="26" width="8.71"/>
  </cols>
  <sheetData>
    <row r="1">
      <c r="A1" s="1" t="s">
        <v>2</v>
      </c>
      <c r="B1" s="2"/>
      <c r="C1" s="2"/>
      <c r="D1" s="2"/>
      <c r="E1" s="2"/>
      <c r="F1" s="2"/>
    </row>
    <row r="2">
      <c r="A2" s="3" t="s">
        <v>6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4" t="s">
        <v>9</v>
      </c>
      <c r="B4" s="4" t="s">
        <v>13</v>
      </c>
      <c r="C4" s="4" t="s">
        <v>14</v>
      </c>
      <c r="D4" s="4" t="s">
        <v>16</v>
      </c>
      <c r="E4" s="4" t="s">
        <v>17</v>
      </c>
      <c r="F4" s="4" t="s">
        <v>18</v>
      </c>
    </row>
    <row r="5">
      <c r="A5" s="2"/>
      <c r="B5" s="2"/>
      <c r="C5" s="2"/>
      <c r="D5" s="2"/>
      <c r="E5" s="2"/>
      <c r="F5" s="2"/>
    </row>
    <row r="6">
      <c r="A6" s="6" t="s">
        <v>24</v>
      </c>
      <c r="B6" s="2"/>
      <c r="C6" s="2"/>
      <c r="D6" s="2"/>
      <c r="E6" s="2"/>
      <c r="F6" s="2"/>
    </row>
    <row r="7">
      <c r="A7" s="5" t="s">
        <v>31</v>
      </c>
      <c r="B7" s="11">
        <f>Distinta_Tecnica!$B$18/Distinta_Tecnica!$B$17*(1+Ipotesi!$B$23)</f>
        <v>3.15</v>
      </c>
      <c r="C7" s="5" t="s">
        <v>60</v>
      </c>
      <c r="D7" s="13"/>
      <c r="E7" s="16">
        <f t="shared" ref="E7:E8" si="1">0</f>
        <v>0</v>
      </c>
      <c r="F7" s="5" t="s">
        <v>81</v>
      </c>
    </row>
    <row r="8">
      <c r="A8" s="5" t="s">
        <v>86</v>
      </c>
      <c r="B8" s="11">
        <f>1/Distinta_Tecnica!$B$19*(1+Ipotesi!$B$23)</f>
        <v>0.2625</v>
      </c>
      <c r="C8" s="5" t="s">
        <v>60</v>
      </c>
      <c r="D8" s="13"/>
      <c r="E8" s="16">
        <f t="shared" si="1"/>
        <v>0</v>
      </c>
      <c r="F8" s="5" t="s">
        <v>101</v>
      </c>
    </row>
    <row r="9">
      <c r="A9" s="5" t="s">
        <v>102</v>
      </c>
      <c r="B9" s="11">
        <f>B7*Distinta_Tecnica!$B$16*115/1000000</f>
        <v>0.000253575</v>
      </c>
      <c r="C9" s="5" t="s">
        <v>116</v>
      </c>
      <c r="D9" s="13">
        <f>Ipotesi!$B$7</f>
        <v>1082.55</v>
      </c>
      <c r="E9" s="16">
        <f t="shared" ref="E9:E15" si="2">B9*D9</f>
        <v>0.2745076163</v>
      </c>
      <c r="F9" s="5" t="s">
        <v>128</v>
      </c>
    </row>
    <row r="10">
      <c r="A10" s="5" t="s">
        <v>132</v>
      </c>
      <c r="B10" s="11">
        <f>B8*Distinta_Tecnica!$B$16*300/1000000</f>
        <v>0.000055125</v>
      </c>
      <c r="C10" s="5" t="s">
        <v>116</v>
      </c>
      <c r="D10" s="13">
        <f>Ipotesi!$B$8</f>
        <v>1407.315</v>
      </c>
      <c r="E10" s="16">
        <f t="shared" si="2"/>
        <v>0.07757823938</v>
      </c>
      <c r="F10" s="5"/>
    </row>
    <row r="11">
      <c r="A11" s="5" t="s">
        <v>153</v>
      </c>
      <c r="B11" s="11">
        <f>(B7*2+B8)*Distinta_Tecnica!$B$16*Ipotesi!$B$20/1000</f>
        <v>0.00735</v>
      </c>
      <c r="C11" s="5" t="s">
        <v>166</v>
      </c>
      <c r="D11" s="13">
        <f>Ipotesi!$B$19</f>
        <v>12</v>
      </c>
      <c r="E11" s="16">
        <f t="shared" si="2"/>
        <v>0.0882</v>
      </c>
      <c r="F11" s="5" t="s">
        <v>178</v>
      </c>
    </row>
    <row r="12">
      <c r="A12" s="5" t="s">
        <v>179</v>
      </c>
      <c r="B12" s="11">
        <f>(B7+B8)/Ipotesi!$B$18</f>
        <v>0.0003791666667</v>
      </c>
      <c r="C12" s="5" t="s">
        <v>152</v>
      </c>
      <c r="D12" s="13">
        <f>Ipotesi!$B$16+Ipotesi!$B$15*2</f>
        <v>110</v>
      </c>
      <c r="E12" s="16">
        <f t="shared" si="2"/>
        <v>0.04170833333</v>
      </c>
      <c r="F12" s="5" t="s">
        <v>192</v>
      </c>
    </row>
    <row r="13">
      <c r="A13" s="5" t="s">
        <v>193</v>
      </c>
      <c r="B13" s="11">
        <f>B12*Ipotesi!$B$17</f>
        <v>0.03033333333</v>
      </c>
      <c r="C13" s="5" t="s">
        <v>194</v>
      </c>
      <c r="D13" s="13">
        <f>Ipotesi!$B$14</f>
        <v>0.265</v>
      </c>
      <c r="E13" s="16">
        <f t="shared" si="2"/>
        <v>0.008038333333</v>
      </c>
      <c r="F13" s="5" t="s">
        <v>195</v>
      </c>
    </row>
    <row r="14">
      <c r="A14" s="5" t="s">
        <v>196</v>
      </c>
      <c r="B14" s="11">
        <v>1.0</v>
      </c>
      <c r="C14" s="5" t="s">
        <v>197</v>
      </c>
      <c r="D14" s="24">
        <v>0.03</v>
      </c>
      <c r="E14" s="16">
        <f t="shared" si="2"/>
        <v>0.03</v>
      </c>
      <c r="F14" s="5" t="s">
        <v>198</v>
      </c>
    </row>
    <row r="15">
      <c r="A15" s="5" t="s">
        <v>199</v>
      </c>
      <c r="B15" s="11">
        <v>1.0</v>
      </c>
      <c r="C15" s="5" t="s">
        <v>197</v>
      </c>
      <c r="D15" s="24">
        <v>0.04</v>
      </c>
      <c r="E15" s="16">
        <f t="shared" si="2"/>
        <v>0.04</v>
      </c>
      <c r="F15" s="5" t="s">
        <v>52</v>
      </c>
    </row>
    <row r="16">
      <c r="A16" s="25" t="s">
        <v>200</v>
      </c>
      <c r="B16" s="25"/>
      <c r="C16" s="25"/>
      <c r="D16" s="25"/>
      <c r="E16" s="26">
        <f>SUM(E9:E15)</f>
        <v>0.5600325223</v>
      </c>
      <c r="F16" s="25"/>
    </row>
    <row r="17">
      <c r="A17" s="5" t="s">
        <v>201</v>
      </c>
      <c r="B17" s="5"/>
      <c r="C17" s="5"/>
      <c r="D17" s="5"/>
      <c r="E17" s="16">
        <f>E9+E10</f>
        <v>0.3520858556</v>
      </c>
      <c r="F17" s="5"/>
    </row>
    <row r="18">
      <c r="A18" s="25" t="s">
        <v>202</v>
      </c>
      <c r="B18" s="25"/>
      <c r="C18" s="25"/>
      <c r="D18" s="25"/>
      <c r="E18" s="27">
        <f>Ipotesi!$B$22*(Ipotesi!$B$16+Ipotesi!$B$15*2+Ipotesi!$B$17*Ipotesi!$B$14)+Distinta_Tecnica!$B$22*Ipotesi!$B$21</f>
        <v>681.6</v>
      </c>
      <c r="F18" s="25" t="s">
        <v>203</v>
      </c>
    </row>
    <row r="19">
      <c r="A19" s="2"/>
      <c r="B19" s="2"/>
      <c r="C19" s="2"/>
      <c r="D19" s="2"/>
      <c r="E19" s="2"/>
      <c r="F19" s="2"/>
    </row>
    <row r="20">
      <c r="A20" s="6" t="s">
        <v>204</v>
      </c>
      <c r="B20" s="2"/>
      <c r="C20" s="2"/>
      <c r="D20" s="2"/>
      <c r="E20" s="2"/>
      <c r="F20" s="2"/>
    </row>
    <row r="21" ht="15.75" customHeight="1">
      <c r="A21" s="5" t="s">
        <v>205</v>
      </c>
      <c r="B21" s="11">
        <f>Distinta_Tecnica!$B$21/Distinta_Tecnica!$B$20*(1+Ipotesi!$B$23)</f>
        <v>0.035</v>
      </c>
      <c r="C21" s="5" t="s">
        <v>60</v>
      </c>
      <c r="D21" s="13"/>
      <c r="E21" s="16">
        <f>0</f>
        <v>0</v>
      </c>
      <c r="F21" s="5"/>
    </row>
    <row r="22" ht="15.75" customHeight="1">
      <c r="A22" s="5" t="s">
        <v>206</v>
      </c>
      <c r="B22" s="11">
        <f>B21*Distinta_Tecnica!$B$16</f>
        <v>0.0245</v>
      </c>
      <c r="C22" s="5" t="s">
        <v>207</v>
      </c>
      <c r="D22" s="13">
        <f>Ipotesi!$B$10</f>
        <v>0.55</v>
      </c>
      <c r="E22" s="16">
        <f t="shared" ref="E22:E30" si="3">B22*D22</f>
        <v>0.013475</v>
      </c>
      <c r="F22" s="5"/>
    </row>
    <row r="23" ht="15.75" customHeight="1">
      <c r="A23" s="5" t="s">
        <v>153</v>
      </c>
      <c r="B23" s="11">
        <f>B21*Distinta_Tecnica!$B$16*Ipotesi!$B$20*1.25/1000</f>
        <v>0.000049</v>
      </c>
      <c r="C23" s="5" t="s">
        <v>166</v>
      </c>
      <c r="D23" s="13">
        <f>Ipotesi!$B$19</f>
        <v>12</v>
      </c>
      <c r="E23" s="16">
        <f t="shared" si="3"/>
        <v>0.000588</v>
      </c>
      <c r="F23" s="5" t="s">
        <v>208</v>
      </c>
    </row>
    <row r="24" ht="15.75" customHeight="1">
      <c r="A24" s="5" t="s">
        <v>209</v>
      </c>
      <c r="B24" s="11">
        <f>B21/Ipotesi!$B$18</f>
        <v>0.000003888888889</v>
      </c>
      <c r="C24" s="5" t="s">
        <v>152</v>
      </c>
      <c r="D24" s="13">
        <f>Ipotesi!$B$16+Ipotesi!$B$15*2</f>
        <v>110</v>
      </c>
      <c r="E24" s="16">
        <f t="shared" si="3"/>
        <v>0.0004277777778</v>
      </c>
      <c r="F24" s="5"/>
    </row>
    <row r="25" ht="15.75" customHeight="1">
      <c r="A25" s="5" t="s">
        <v>193</v>
      </c>
      <c r="B25" s="11">
        <f>B24*Ipotesi!$B$17</f>
        <v>0.0003111111111</v>
      </c>
      <c r="C25" s="5" t="s">
        <v>194</v>
      </c>
      <c r="D25" s="13">
        <f>Ipotesi!$B$14</f>
        <v>0.265</v>
      </c>
      <c r="E25" s="16">
        <f t="shared" si="3"/>
        <v>0.00008244444444</v>
      </c>
      <c r="F25" s="5"/>
    </row>
    <row r="26" ht="15.75" customHeight="1">
      <c r="A26" s="5" t="s">
        <v>210</v>
      </c>
      <c r="B26" s="11">
        <v>1.0</v>
      </c>
      <c r="C26" s="5" t="s">
        <v>211</v>
      </c>
      <c r="D26" s="24">
        <v>0.004</v>
      </c>
      <c r="E26" s="16">
        <f t="shared" si="3"/>
        <v>0.004</v>
      </c>
      <c r="F26" s="5" t="s">
        <v>52</v>
      </c>
    </row>
    <row r="27" ht="15.75" customHeight="1">
      <c r="A27" s="5" t="s">
        <v>82</v>
      </c>
      <c r="B27" s="11">
        <f>Distinta_Tecnica!$B$24*Distinta_Tecnica!$B$25/1000000</f>
        <v>0.00000034398</v>
      </c>
      <c r="C27" s="5" t="s">
        <v>116</v>
      </c>
      <c r="D27" s="13">
        <f>Ipotesi!$B$13</f>
        <v>2287.068966</v>
      </c>
      <c r="E27" s="16">
        <f t="shared" si="3"/>
        <v>0.0007867059828</v>
      </c>
      <c r="F27" s="5" t="s">
        <v>212</v>
      </c>
    </row>
    <row r="28" ht="15.75" customHeight="1">
      <c r="A28" s="5" t="s">
        <v>213</v>
      </c>
      <c r="B28" s="11">
        <v>1.0</v>
      </c>
      <c r="C28" s="5" t="s">
        <v>211</v>
      </c>
      <c r="D28" s="24">
        <v>0.004</v>
      </c>
      <c r="E28" s="16">
        <f t="shared" si="3"/>
        <v>0.004</v>
      </c>
      <c r="F28" s="5" t="s">
        <v>214</v>
      </c>
    </row>
    <row r="29" ht="15.75" customHeight="1">
      <c r="A29" s="5" t="s">
        <v>215</v>
      </c>
      <c r="B29" s="11">
        <f>1/12000</f>
        <v>0.00008333333333</v>
      </c>
      <c r="C29" s="5" t="s">
        <v>152</v>
      </c>
      <c r="D29" s="13">
        <f>Ipotesi!$B$15+30</f>
        <v>55</v>
      </c>
      <c r="E29" s="16">
        <f t="shared" si="3"/>
        <v>0.004583333333</v>
      </c>
      <c r="F29" s="5" t="s">
        <v>218</v>
      </c>
    </row>
    <row r="30" ht="15.75" customHeight="1">
      <c r="A30" s="5" t="s">
        <v>220</v>
      </c>
      <c r="B30" s="11">
        <f>1/Distinta_Tecnica!$B$26</f>
        <v>0.02</v>
      </c>
      <c r="C30" s="5" t="s">
        <v>221</v>
      </c>
      <c r="D30" s="24">
        <v>0.35</v>
      </c>
      <c r="E30" s="16">
        <f t="shared" si="3"/>
        <v>0.007</v>
      </c>
      <c r="F30" s="5" t="s">
        <v>222</v>
      </c>
    </row>
    <row r="31" ht="15.75" customHeight="1">
      <c r="A31" s="25" t="s">
        <v>223</v>
      </c>
      <c r="B31" s="25"/>
      <c r="C31" s="25"/>
      <c r="D31" s="25"/>
      <c r="E31" s="26">
        <f>SUM(E22:E30)</f>
        <v>0.03494326154</v>
      </c>
      <c r="F31" s="25"/>
    </row>
    <row r="32" ht="15.75" customHeight="1">
      <c r="A32" s="5" t="s">
        <v>224</v>
      </c>
      <c r="B32" s="5"/>
      <c r="C32" s="5"/>
      <c r="D32" s="5"/>
      <c r="E32" s="16">
        <f>E22</f>
        <v>0.013475</v>
      </c>
      <c r="F32" s="5"/>
    </row>
    <row r="33" ht="15.75" customHeight="1">
      <c r="A33" s="25" t="s">
        <v>225</v>
      </c>
      <c r="B33" s="25"/>
      <c r="C33" s="25"/>
      <c r="D33" s="25"/>
      <c r="E33" s="27">
        <f>Ipotesi!$B$22*(Ipotesi!$B$16+Ipotesi!$B$15*2+Ipotesi!$B$17*Ipotesi!$B$14)+Distinta_Tecnica!$B$23*Ipotesi!$B$21</f>
        <v>489.6</v>
      </c>
      <c r="F33" s="25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6" t="s">
        <v>226</v>
      </c>
      <c r="B35" s="2"/>
      <c r="C35" s="2"/>
      <c r="D35" s="2"/>
      <c r="E35" s="2"/>
      <c r="F35" s="2"/>
    </row>
    <row r="36" ht="15.75" customHeight="1">
      <c r="A36" s="4" t="s">
        <v>9</v>
      </c>
      <c r="B36" s="4" t="s">
        <v>32</v>
      </c>
      <c r="C36" s="4" t="s">
        <v>78</v>
      </c>
      <c r="D36" s="2"/>
      <c r="E36" s="2"/>
      <c r="F36" s="2"/>
    </row>
    <row r="37" ht="15.75" customHeight="1">
      <c r="A37" s="5" t="s">
        <v>227</v>
      </c>
      <c r="B37" s="32">
        <v>100000.0</v>
      </c>
      <c r="C37" s="32">
        <v>1000000.0</v>
      </c>
      <c r="D37" s="2"/>
      <c r="E37" s="2"/>
      <c r="F37" s="2"/>
    </row>
    <row r="38" ht="15.75" customHeight="1">
      <c r="A38" s="5" t="s">
        <v>228</v>
      </c>
      <c r="B38" s="16">
        <f>E16+E18/B37</f>
        <v>0.5668485223</v>
      </c>
      <c r="C38" s="16">
        <f>E31+E33/C37</f>
        <v>0.03543286154</v>
      </c>
      <c r="D38" s="2"/>
      <c r="E38" s="2"/>
      <c r="F38" s="2"/>
    </row>
    <row r="39" ht="15.75" customHeight="1">
      <c r="A39" s="5" t="s">
        <v>229</v>
      </c>
      <c r="B39" s="16">
        <f>B38*(1+Ipotesi!$B$24)</f>
        <v>0.6518758006</v>
      </c>
      <c r="C39" s="16">
        <f>C38*(1+Ipotesi!$B$24)</f>
        <v>0.04074779077</v>
      </c>
      <c r="D39" s="2"/>
      <c r="E39" s="2"/>
      <c r="F39" s="2"/>
    </row>
    <row r="40" ht="15.75" customHeight="1">
      <c r="A40" s="5" t="s">
        <v>230</v>
      </c>
      <c r="B40" s="16"/>
      <c r="C40" s="16">
        <f>Ipotesi!$B$26</f>
        <v>1</v>
      </c>
      <c r="D40" s="2"/>
      <c r="E40" s="2"/>
      <c r="F40" s="2"/>
    </row>
    <row r="41" ht="15.75" customHeight="1">
      <c r="A41" s="5" t="s">
        <v>231</v>
      </c>
      <c r="B41" s="16"/>
      <c r="C41" s="16">
        <f>C40*(1-Ipotesi!$B$27)</f>
        <v>0.65</v>
      </c>
      <c r="D41" s="2"/>
      <c r="E41" s="2"/>
      <c r="F41" s="2"/>
    </row>
    <row r="42" ht="15.75" customHeight="1">
      <c r="A42" s="5" t="s">
        <v>232</v>
      </c>
      <c r="B42" s="5"/>
      <c r="C42" s="33">
        <f>C39/C41</f>
        <v>0.06268890888</v>
      </c>
      <c r="D42" s="2"/>
      <c r="E42" s="2"/>
      <c r="F42" s="2"/>
    </row>
    <row r="43" ht="15.75" customHeight="1">
      <c r="A43" s="2" t="s">
        <v>114</v>
      </c>
      <c r="B43" s="2" t="s">
        <v>233</v>
      </c>
      <c r="C43" s="2"/>
      <c r="D43" s="2"/>
      <c r="E43" s="2"/>
      <c r="F43" s="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2.0"/>
    <col customWidth="1" min="3" max="3" width="24.0"/>
    <col customWidth="1" min="4" max="4" width="22.0"/>
    <col customWidth="1" min="5" max="26" width="8.71"/>
  </cols>
  <sheetData>
    <row r="1">
      <c r="A1" s="1" t="s">
        <v>234</v>
      </c>
      <c r="B1" s="2"/>
      <c r="C1" s="2"/>
      <c r="D1" s="2"/>
    </row>
    <row r="2">
      <c r="A2" s="3" t="s">
        <v>235</v>
      </c>
      <c r="B2" s="2"/>
      <c r="C2" s="2"/>
      <c r="D2" s="2"/>
    </row>
    <row r="3">
      <c r="A3" s="2"/>
      <c r="B3" s="2"/>
      <c r="C3" s="2"/>
      <c r="D3" s="2"/>
    </row>
    <row r="4">
      <c r="A4" s="34" t="s">
        <v>236</v>
      </c>
      <c r="B4" s="35" t="s">
        <v>78</v>
      </c>
      <c r="C4" s="2"/>
      <c r="D4" s="2"/>
    </row>
    <row r="5">
      <c r="A5" s="34" t="s">
        <v>237</v>
      </c>
      <c r="B5" s="36">
        <v>750000.0</v>
      </c>
      <c r="C5" s="2"/>
      <c r="D5" s="2"/>
    </row>
    <row r="6">
      <c r="A6" s="34" t="s">
        <v>238</v>
      </c>
      <c r="B6" s="37">
        <f>Ipotesi!$B$25</f>
        <v>0.25</v>
      </c>
      <c r="C6" s="2"/>
      <c r="D6" s="2"/>
    </row>
    <row r="7">
      <c r="A7" s="34"/>
      <c r="B7" s="5"/>
      <c r="C7" s="2"/>
      <c r="D7" s="2"/>
    </row>
    <row r="8">
      <c r="A8" s="34" t="s">
        <v>239</v>
      </c>
      <c r="B8" s="16">
        <f>IF(B4="Album",Scheda_Costi!E16,Scheda_Costi!E31)</f>
        <v>0.03494326154</v>
      </c>
      <c r="C8" s="2"/>
      <c r="D8" s="2"/>
    </row>
    <row r="9">
      <c r="A9" s="34" t="s">
        <v>240</v>
      </c>
      <c r="B9" s="38">
        <f>IF(B4="Album",Scheda_Costi!E18,Scheda_Costi!E33)</f>
        <v>489.6</v>
      </c>
      <c r="C9" s="2"/>
      <c r="D9" s="2"/>
    </row>
    <row r="10">
      <c r="A10" s="34" t="s">
        <v>241</v>
      </c>
      <c r="B10" s="16">
        <f>(B8+B9/B5)*(1+Ipotesi!$B$24)</f>
        <v>0.04093547077</v>
      </c>
      <c r="C10" s="2"/>
      <c r="D10" s="2"/>
    </row>
    <row r="11">
      <c r="A11" s="39" t="s">
        <v>242</v>
      </c>
      <c r="B11" s="40">
        <f>B10*(1+B6)</f>
        <v>0.05116933846</v>
      </c>
      <c r="C11" s="2"/>
      <c r="D11" s="2"/>
    </row>
    <row r="12">
      <c r="A12" s="39" t="s">
        <v>243</v>
      </c>
      <c r="B12" s="41">
        <f>B11*B5</f>
        <v>38377.00385</v>
      </c>
      <c r="C12" s="2"/>
      <c r="D12" s="2"/>
    </row>
    <row r="13">
      <c r="A13" s="34" t="s">
        <v>244</v>
      </c>
      <c r="B13" s="38">
        <f>(B11-B10)*B5</f>
        <v>7675.400769</v>
      </c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4" t="s">
        <v>247</v>
      </c>
      <c r="B16" s="4" t="s">
        <v>250</v>
      </c>
      <c r="C16" s="4" t="s">
        <v>251</v>
      </c>
      <c r="D16" s="4" t="s">
        <v>252</v>
      </c>
    </row>
    <row r="17">
      <c r="A17" s="42">
        <v>25000.0</v>
      </c>
      <c r="B17" s="16">
        <f>(Scheda_Costi!$E$16+Scheda_Costi!$E$18/A17)*(1+Ipotesi!$B$24)</f>
        <v>0.6753910006</v>
      </c>
      <c r="C17" s="16">
        <f>(Scheda_Costi!$E$31+Scheda_Costi!$E$33/A17)*(1+Ipotesi!$B$24)</f>
        <v>0.06270635077</v>
      </c>
      <c r="D17" s="33">
        <f>(Scheda_Costi!$E$33/A17)/(Scheda_Costi!$E$31+Scheda_Costi!$E$33/A17)</f>
        <v>0.3591597936</v>
      </c>
    </row>
    <row r="18">
      <c r="A18" s="42">
        <v>50000.0</v>
      </c>
      <c r="B18" s="16">
        <f>(Scheda_Costi!$E$16+Scheda_Costi!$E$18/A18)*(1+Ipotesi!$B$24)</f>
        <v>0.6597142006</v>
      </c>
      <c r="C18" s="16">
        <f>(Scheda_Costi!$E$31+Scheda_Costi!$E$33/A18)*(1+Ipotesi!$B$24)</f>
        <v>0.05144555077</v>
      </c>
      <c r="D18" s="33">
        <f>(Scheda_Costi!$E$33/A18)/(Scheda_Costi!$E$31+Scheda_Costi!$E$33/A18)</f>
        <v>0.2188877334</v>
      </c>
    </row>
    <row r="19">
      <c r="A19" s="42">
        <v>100000.0</v>
      </c>
      <c r="B19" s="16">
        <f>(Scheda_Costi!$E$16+Scheda_Costi!$E$18/A19)*(1+Ipotesi!$B$24)</f>
        <v>0.6518758006</v>
      </c>
      <c r="C19" s="16">
        <f>(Scheda_Costi!$E$31+Scheda_Costi!$E$33/A19)*(1+Ipotesi!$B$24)</f>
        <v>0.04581515077</v>
      </c>
      <c r="D19" s="33">
        <f>(Scheda_Costi!$E$33/A19)/(Scheda_Costi!$E$31+Scheda_Costi!$E$33/A19)</f>
        <v>0.1228938442</v>
      </c>
    </row>
    <row r="20">
      <c r="A20" s="42">
        <v>250000.0</v>
      </c>
      <c r="B20" s="16">
        <f>(Scheda_Costi!$E$16+Scheda_Costi!$E$18/A20)*(1+Ipotesi!$B$24)</f>
        <v>0.6471727606</v>
      </c>
      <c r="C20" s="16">
        <f>(Scheda_Costi!$E$31+Scheda_Costi!$E$33/A20)*(1+Ipotesi!$B$24)</f>
        <v>0.04243691077</v>
      </c>
      <c r="D20" s="33">
        <f>(Scheda_Costi!$E$33/A20)/(Scheda_Costi!$E$31+Scheda_Costi!$E$33/A20)</f>
        <v>0.05307078105</v>
      </c>
    </row>
    <row r="21" ht="15.75" customHeight="1">
      <c r="A21" s="42">
        <v>500000.0</v>
      </c>
      <c r="B21" s="16">
        <f>(Scheda_Costi!$E$16+Scheda_Costi!$E$18/A21)*(1+Ipotesi!$B$24)</f>
        <v>0.6456050806</v>
      </c>
      <c r="C21" s="16">
        <f>(Scheda_Costi!$E$31+Scheda_Costi!$E$33/A21)*(1+Ipotesi!$B$24)</f>
        <v>0.04131083077</v>
      </c>
      <c r="D21" s="33">
        <f>(Scheda_Costi!$E$33/A21)/(Scheda_Costi!$E$31+Scheda_Costi!$E$33/A21)</f>
        <v>0.02725871107</v>
      </c>
    </row>
    <row r="22" ht="15.75" customHeight="1">
      <c r="A22" s="42">
        <v>1000000.0</v>
      </c>
      <c r="B22" s="16">
        <f>(Scheda_Costi!$E$16+Scheda_Costi!$E$18/A22)*(1+Ipotesi!$B$24)</f>
        <v>0.6448212406</v>
      </c>
      <c r="C22" s="16">
        <f>(Scheda_Costi!$E$31+Scheda_Costi!$E$33/A22)*(1+Ipotesi!$B$24)</f>
        <v>0.04074779077</v>
      </c>
      <c r="D22" s="33">
        <f>(Scheda_Costi!$E$33/A22)/(Scheda_Costi!$E$31+Scheda_Costi!$E$33/A22)</f>
        <v>0.01381768163</v>
      </c>
    </row>
    <row r="23" ht="15.75" customHeight="1">
      <c r="A23" s="42">
        <v>2000000.0</v>
      </c>
      <c r="B23" s="16">
        <f>(Scheda_Costi!$E$16+Scheda_Costi!$E$18/A23)*(1+Ipotesi!$B$24)</f>
        <v>0.6444293206</v>
      </c>
      <c r="C23" s="16">
        <f>(Scheda_Costi!$E$31+Scheda_Costi!$E$33/A23)*(1+Ipotesi!$B$24)</f>
        <v>0.04046627077</v>
      </c>
      <c r="D23" s="33">
        <f>(Scheda_Costi!$E$33/A23)/(Scheda_Costi!$E$31+Scheda_Costi!$E$33/A23)</f>
        <v>0.006956904964</v>
      </c>
    </row>
    <row r="24" ht="15.75" customHeight="1">
      <c r="A24" s="42">
        <v>5000000.0</v>
      </c>
      <c r="B24" s="16">
        <f>(Scheda_Costi!$E$16+Scheda_Costi!$E$18/A24)*(1+Ipotesi!$B$24)</f>
        <v>0.6441941686</v>
      </c>
      <c r="C24" s="16">
        <f>(Scheda_Costi!$E$31+Scheda_Costi!$E$33/A24)*(1+Ipotesi!$B$24)</f>
        <v>0.04029735877</v>
      </c>
      <c r="D24" s="33">
        <f>(Scheda_Costi!$E$33/A24)/(Scheda_Costi!$E$31+Scheda_Costi!$E$33/A24)</f>
        <v>0.002794426321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4">
      <formula1>"Album,Bustina"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6" width="14.0"/>
    <col customWidth="1" min="7" max="26" width="8.71"/>
  </cols>
  <sheetData>
    <row r="1">
      <c r="A1" s="1" t="s">
        <v>216</v>
      </c>
      <c r="B1" s="2"/>
      <c r="C1" s="2"/>
      <c r="D1" s="2"/>
      <c r="E1" s="2"/>
      <c r="F1" s="2"/>
    </row>
    <row r="2">
      <c r="A2" s="3" t="s">
        <v>217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28" t="s">
        <v>219</v>
      </c>
      <c r="B4" s="29">
        <v>25000.0</v>
      </c>
      <c r="C4" s="29">
        <v>50000.0</v>
      </c>
      <c r="D4" s="29">
        <v>100000.0</v>
      </c>
      <c r="E4" s="29">
        <v>250000.0</v>
      </c>
      <c r="F4" s="29">
        <v>500000.0</v>
      </c>
    </row>
    <row r="5">
      <c r="A5" s="30">
        <v>-0.2</v>
      </c>
      <c r="B5" s="31">
        <f>(Scheda_Costi!$E$16+Scheda_Costi!$E$17*$A5+Scheda_Costi!$E$18/B$4)*(1+Ipotesi!$B$24)</f>
        <v>0.5944112538</v>
      </c>
      <c r="C5" s="31">
        <f>(Scheda_Costi!$E$16+Scheda_Costi!$E$17*$A5+Scheda_Costi!$E$18/C$4)*(1+Ipotesi!$B$24)</f>
        <v>0.5787344538</v>
      </c>
      <c r="D5" s="31">
        <f>(Scheda_Costi!$E$16+Scheda_Costi!$E$17*$A5+Scheda_Costi!$E$18/D$4)*(1+Ipotesi!$B$24)</f>
        <v>0.5708960538</v>
      </c>
      <c r="E5" s="31">
        <f>(Scheda_Costi!$E$16+Scheda_Costi!$E$17*$A5+Scheda_Costi!$E$18/E$4)*(1+Ipotesi!$B$24)</f>
        <v>0.5661930138</v>
      </c>
      <c r="F5" s="31">
        <f>(Scheda_Costi!$E$16+Scheda_Costi!$E$17*$A5+Scheda_Costi!$E$18/F$4)*(1+Ipotesi!$B$24)</f>
        <v>0.5646253338</v>
      </c>
    </row>
    <row r="6">
      <c r="A6" s="30">
        <v>-0.1</v>
      </c>
      <c r="B6" s="31">
        <f>(Scheda_Costi!$E$16+Scheda_Costi!$E$17*$A6+Scheda_Costi!$E$18/B$4)*(1+Ipotesi!$B$24)</f>
        <v>0.6349011272</v>
      </c>
      <c r="C6" s="31">
        <f>(Scheda_Costi!$E$16+Scheda_Costi!$E$17*$A6+Scheda_Costi!$E$18/C$4)*(1+Ipotesi!$B$24)</f>
        <v>0.6192243272</v>
      </c>
      <c r="D6" s="31">
        <f>(Scheda_Costi!$E$16+Scheda_Costi!$E$17*$A6+Scheda_Costi!$E$18/D$4)*(1+Ipotesi!$B$24)</f>
        <v>0.6113859272</v>
      </c>
      <c r="E6" s="31">
        <f>(Scheda_Costi!$E$16+Scheda_Costi!$E$17*$A6+Scheda_Costi!$E$18/E$4)*(1+Ipotesi!$B$24)</f>
        <v>0.6066828872</v>
      </c>
      <c r="F6" s="31">
        <f>(Scheda_Costi!$E$16+Scheda_Costi!$E$17*$A6+Scheda_Costi!$E$18/F$4)*(1+Ipotesi!$B$24)</f>
        <v>0.6051152072</v>
      </c>
    </row>
    <row r="7">
      <c r="A7" s="30">
        <v>0.0</v>
      </c>
      <c r="B7" s="31">
        <f>(Scheda_Costi!$E$16+Scheda_Costi!$E$17*$A7+Scheda_Costi!$E$18/B$4)*(1+Ipotesi!$B$24)</f>
        <v>0.6753910006</v>
      </c>
      <c r="C7" s="31">
        <f>(Scheda_Costi!$E$16+Scheda_Costi!$E$17*$A7+Scheda_Costi!$E$18/C$4)*(1+Ipotesi!$B$24)</f>
        <v>0.6597142006</v>
      </c>
      <c r="D7" s="31">
        <f>(Scheda_Costi!$E$16+Scheda_Costi!$E$17*$A7+Scheda_Costi!$E$18/D$4)*(1+Ipotesi!$B$24)</f>
        <v>0.6518758006</v>
      </c>
      <c r="E7" s="31">
        <f>(Scheda_Costi!$E$16+Scheda_Costi!$E$17*$A7+Scheda_Costi!$E$18/E$4)*(1+Ipotesi!$B$24)</f>
        <v>0.6471727606</v>
      </c>
      <c r="F7" s="31">
        <f>(Scheda_Costi!$E$16+Scheda_Costi!$E$17*$A7+Scheda_Costi!$E$18/F$4)*(1+Ipotesi!$B$24)</f>
        <v>0.6456050806</v>
      </c>
    </row>
    <row r="8">
      <c r="A8" s="30">
        <v>0.1</v>
      </c>
      <c r="B8" s="31">
        <f>(Scheda_Costi!$E$16+Scheda_Costi!$E$17*$A8+Scheda_Costi!$E$18/B$4)*(1+Ipotesi!$B$24)</f>
        <v>0.715880874</v>
      </c>
      <c r="C8" s="31">
        <f>(Scheda_Costi!$E$16+Scheda_Costi!$E$17*$A8+Scheda_Costi!$E$18/C$4)*(1+Ipotesi!$B$24)</f>
        <v>0.700204074</v>
      </c>
      <c r="D8" s="31">
        <f>(Scheda_Costi!$E$16+Scheda_Costi!$E$17*$A8+Scheda_Costi!$E$18/D$4)*(1+Ipotesi!$B$24)</f>
        <v>0.692365674</v>
      </c>
      <c r="E8" s="31">
        <f>(Scheda_Costi!$E$16+Scheda_Costi!$E$17*$A8+Scheda_Costi!$E$18/E$4)*(1+Ipotesi!$B$24)</f>
        <v>0.687662634</v>
      </c>
      <c r="F8" s="31">
        <f>(Scheda_Costi!$E$16+Scheda_Costi!$E$17*$A8+Scheda_Costi!$E$18/F$4)*(1+Ipotesi!$B$24)</f>
        <v>0.686094954</v>
      </c>
    </row>
    <row r="9">
      <c r="A9" s="30">
        <v>0.2</v>
      </c>
      <c r="B9" s="31">
        <f>(Scheda_Costi!$E$16+Scheda_Costi!$E$17*$A9+Scheda_Costi!$E$18/B$4)*(1+Ipotesi!$B$24)</f>
        <v>0.7563707474</v>
      </c>
      <c r="C9" s="31">
        <f>(Scheda_Costi!$E$16+Scheda_Costi!$E$17*$A9+Scheda_Costi!$E$18/C$4)*(1+Ipotesi!$B$24)</f>
        <v>0.7406939474</v>
      </c>
      <c r="D9" s="31">
        <f>(Scheda_Costi!$E$16+Scheda_Costi!$E$17*$A9+Scheda_Costi!$E$18/D$4)*(1+Ipotesi!$B$24)</f>
        <v>0.7328555474</v>
      </c>
      <c r="E9" s="31">
        <f>(Scheda_Costi!$E$16+Scheda_Costi!$E$17*$A9+Scheda_Costi!$E$18/E$4)*(1+Ipotesi!$B$24)</f>
        <v>0.7281525074</v>
      </c>
      <c r="F9" s="31">
        <f>(Scheda_Costi!$E$16+Scheda_Costi!$E$17*$A9+Scheda_Costi!$E$18/F$4)*(1+Ipotesi!$B$24)</f>
        <v>0.7265848274</v>
      </c>
    </row>
    <row r="10">
      <c r="A10" s="30">
        <v>0.3</v>
      </c>
      <c r="B10" s="31">
        <f>(Scheda_Costi!$E$16+Scheda_Costi!$E$17*$A10+Scheda_Costi!$E$18/B$4)*(1+Ipotesi!$B$24)</f>
        <v>0.7968606208</v>
      </c>
      <c r="C10" s="31">
        <f>(Scheda_Costi!$E$16+Scheda_Costi!$E$17*$A10+Scheda_Costi!$E$18/C$4)*(1+Ipotesi!$B$24)</f>
        <v>0.7811838208</v>
      </c>
      <c r="D10" s="31">
        <f>(Scheda_Costi!$E$16+Scheda_Costi!$E$17*$A10+Scheda_Costi!$E$18/D$4)*(1+Ipotesi!$B$24)</f>
        <v>0.7733454208</v>
      </c>
      <c r="E10" s="31">
        <f>(Scheda_Costi!$E$16+Scheda_Costi!$E$17*$A10+Scheda_Costi!$E$18/E$4)*(1+Ipotesi!$B$24)</f>
        <v>0.7686423808</v>
      </c>
      <c r="F10" s="31">
        <f>(Scheda_Costi!$E$16+Scheda_Costi!$E$17*$A10+Scheda_Costi!$E$18/F$4)*(1+Ipotesi!$B$24)</f>
        <v>0.7670747008</v>
      </c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44" t="s">
        <v>258</v>
      </c>
      <c r="B13" s="2"/>
      <c r="C13" s="2"/>
      <c r="D13" s="2"/>
      <c r="E13" s="2"/>
      <c r="F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5:F10">
    <cfRule type="colorScale" priority="1">
      <colorScale>
        <cfvo type="min" val="0"/>
        <cfvo type="percentile" val="50"/>
        <cfvo type="max" val="0"/>
        <color rgb="FFD9EAD3"/>
        <color rgb="FFFFF2CC"/>
        <color rgb="FFF4CCCC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4" width="14.0"/>
    <col customWidth="1" min="5" max="12" width="12.0"/>
    <col customWidth="1" min="13" max="13" width="11.0"/>
    <col customWidth="1" min="14" max="26" width="8.71"/>
  </cols>
  <sheetData>
    <row r="1">
      <c r="A1" s="1" t="s">
        <v>248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253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4" t="s">
        <v>255</v>
      </c>
      <c r="B4" s="4" t="s">
        <v>256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5" t="s">
        <v>257</v>
      </c>
      <c r="B5" s="43">
        <v>0.4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A6" s="5" t="s">
        <v>260</v>
      </c>
      <c r="B6" s="43">
        <v>0.2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5" t="s">
        <v>262</v>
      </c>
      <c r="B7" s="43">
        <v>0.25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A8" s="5" t="s">
        <v>263</v>
      </c>
      <c r="B8" s="43">
        <v>0.15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25" t="s">
        <v>265</v>
      </c>
      <c r="B9" s="45">
        <f>SUM(B5:B8)</f>
        <v>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4" t="s">
        <v>266</v>
      </c>
      <c r="B11" s="4" t="s">
        <v>268</v>
      </c>
      <c r="C11" s="4" t="s">
        <v>270</v>
      </c>
      <c r="D11" s="4" t="s">
        <v>272</v>
      </c>
      <c r="E11" s="4" t="s">
        <v>273</v>
      </c>
      <c r="F11" s="4" t="s">
        <v>274</v>
      </c>
      <c r="G11" s="4" t="s">
        <v>275</v>
      </c>
      <c r="H11" s="4" t="s">
        <v>276</v>
      </c>
      <c r="I11" s="4" t="s">
        <v>277</v>
      </c>
      <c r="J11" s="4" t="s">
        <v>278</v>
      </c>
      <c r="K11" s="4" t="s">
        <v>279</v>
      </c>
      <c r="L11" s="4" t="s">
        <v>280</v>
      </c>
      <c r="M11" s="4" t="s">
        <v>281</v>
      </c>
    </row>
    <row r="12">
      <c r="A12" s="5" t="s">
        <v>282</v>
      </c>
      <c r="B12" s="47">
        <v>0.42</v>
      </c>
      <c r="C12" s="47">
        <v>0.36</v>
      </c>
      <c r="D12" s="47">
        <v>0.33</v>
      </c>
      <c r="E12" s="19">
        <v>15.0</v>
      </c>
      <c r="F12" s="19">
        <v>800.0</v>
      </c>
      <c r="G12" s="43">
        <v>0.96</v>
      </c>
      <c r="H12" s="48">
        <f t="shared" ref="H12:H14" si="1">MIN($D$12:$D$14)/D12*100</f>
        <v>75.75757576</v>
      </c>
      <c r="I12" s="48">
        <f t="shared" ref="I12:I14" si="2">MIN($E$12:$E$14)/E12*100</f>
        <v>100</v>
      </c>
      <c r="J12" s="48">
        <f t="shared" ref="J12:J14" si="3">MIN($F$12:$F$14)/F12*100</f>
        <v>100</v>
      </c>
      <c r="K12" s="48">
        <f t="shared" ref="K12:K14" si="4">G12/MAX($G$12:$G$14)*100</f>
        <v>100</v>
      </c>
      <c r="L12" s="48">
        <f t="shared" ref="L12:L14" si="5">H12*$B$5+I12*$B$6+J12*$B$7+K12*$B$8</f>
        <v>90.3030303</v>
      </c>
      <c r="M12" s="5">
        <f t="shared" ref="M12:M14" si="6">RANK(L12,$L$12:$L$14)</f>
        <v>1</v>
      </c>
    </row>
    <row r="13">
      <c r="A13" s="5" t="s">
        <v>284</v>
      </c>
      <c r="B13" s="47">
        <v>0.39</v>
      </c>
      <c r="C13" s="47">
        <v>0.34</v>
      </c>
      <c r="D13" s="47">
        <v>0.31</v>
      </c>
      <c r="E13" s="19">
        <v>25.0</v>
      </c>
      <c r="F13" s="19">
        <v>1500.0</v>
      </c>
      <c r="G13" s="43">
        <v>0.9</v>
      </c>
      <c r="H13" s="48">
        <f t="shared" si="1"/>
        <v>80.64516129</v>
      </c>
      <c r="I13" s="48">
        <f t="shared" si="2"/>
        <v>60</v>
      </c>
      <c r="J13" s="48">
        <f t="shared" si="3"/>
        <v>53.33333333</v>
      </c>
      <c r="K13" s="48">
        <f t="shared" si="4"/>
        <v>93.75</v>
      </c>
      <c r="L13" s="48">
        <f t="shared" si="5"/>
        <v>71.65389785</v>
      </c>
      <c r="M13" s="5">
        <f t="shared" si="6"/>
        <v>2</v>
      </c>
    </row>
    <row r="14">
      <c r="A14" s="5" t="s">
        <v>285</v>
      </c>
      <c r="B14" s="47">
        <v>0.33</v>
      </c>
      <c r="C14" s="47">
        <v>0.28</v>
      </c>
      <c r="D14" s="47">
        <v>0.25</v>
      </c>
      <c r="E14" s="19">
        <v>35.0</v>
      </c>
      <c r="F14" s="19">
        <v>2500.0</v>
      </c>
      <c r="G14" s="43">
        <v>0.85</v>
      </c>
      <c r="H14" s="48">
        <f t="shared" si="1"/>
        <v>100</v>
      </c>
      <c r="I14" s="48">
        <f t="shared" si="2"/>
        <v>42.85714286</v>
      </c>
      <c r="J14" s="48">
        <f t="shared" si="3"/>
        <v>32</v>
      </c>
      <c r="K14" s="48">
        <f t="shared" si="4"/>
        <v>88.54166667</v>
      </c>
      <c r="L14" s="48">
        <f t="shared" si="5"/>
        <v>69.85267857</v>
      </c>
      <c r="M14" s="5">
        <f t="shared" si="6"/>
        <v>3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49" t="s">
        <v>286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A17" s="2" t="s">
        <v>287</v>
      </c>
      <c r="B17" s="50">
        <v>60000.0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4" t="s">
        <v>266</v>
      </c>
      <c r="B18" s="4" t="s">
        <v>288</v>
      </c>
      <c r="C18" s="4" t="s">
        <v>289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5" t="str">
        <f t="shared" ref="A19:A21" si="7">A12</f>
        <v>Fornitore Alfa – Emilia</v>
      </c>
      <c r="B19" s="38">
        <f t="shared" ref="B19:B21" si="8">$B$17*IF($B$17&gt;=50000,D12,IF($B$17&gt;=10000,C12,B12))</f>
        <v>19800</v>
      </c>
      <c r="C19" s="38">
        <f t="shared" ref="C19:C21" si="9">B19-MIN($B$19:$B$21)</f>
        <v>4800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5" t="str">
        <f t="shared" si="7"/>
        <v>Fornitore Beta – Lombardia</v>
      </c>
      <c r="B20" s="38">
        <f t="shared" si="8"/>
        <v>18600</v>
      </c>
      <c r="C20" s="38">
        <f t="shared" si="9"/>
        <v>3600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5.75" customHeight="1">
      <c r="A21" s="5" t="str">
        <f t="shared" si="7"/>
        <v>Fornitore Gamma – Est Europa</v>
      </c>
      <c r="B21" s="38">
        <f t="shared" si="8"/>
        <v>15000</v>
      </c>
      <c r="C21" s="38">
        <f t="shared" si="9"/>
        <v>0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5.75" customHeight="1">
      <c r="A23" s="44" t="s">
        <v>290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2.0"/>
    <col customWidth="1" min="2" max="3" width="18.0"/>
    <col customWidth="1" min="4" max="4" width="12.0"/>
    <col customWidth="1" min="5" max="26" width="8.71"/>
  </cols>
  <sheetData>
    <row r="1">
      <c r="A1" s="1" t="s">
        <v>245</v>
      </c>
      <c r="B1" s="2"/>
      <c r="C1" s="2"/>
      <c r="D1" s="2"/>
    </row>
    <row r="2">
      <c r="A2" s="3" t="s">
        <v>246</v>
      </c>
      <c r="B2" s="2"/>
      <c r="C2" s="2"/>
      <c r="D2" s="2"/>
    </row>
    <row r="3">
      <c r="A3" s="2"/>
      <c r="B3" s="2"/>
      <c r="C3" s="2"/>
      <c r="D3" s="2"/>
    </row>
    <row r="4">
      <c r="A4" s="5" t="s">
        <v>249</v>
      </c>
      <c r="B4" s="35">
        <v>9.5</v>
      </c>
      <c r="C4" s="2"/>
      <c r="D4" s="2"/>
    </row>
    <row r="5">
      <c r="A5" s="5" t="s">
        <v>158</v>
      </c>
      <c r="B5" s="5">
        <f>Distinta_Tecnica!$B$21</f>
        <v>6</v>
      </c>
      <c r="C5" s="2"/>
      <c r="D5" s="2"/>
    </row>
    <row r="6">
      <c r="A6" s="5" t="s">
        <v>254</v>
      </c>
      <c r="B6" s="16">
        <f>SUM(Scheda_Costi!E22:E26)</f>
        <v>0.01857322222</v>
      </c>
      <c r="C6" s="2"/>
      <c r="D6" s="2"/>
    </row>
    <row r="7">
      <c r="A7" s="5" t="s">
        <v>259</v>
      </c>
      <c r="B7" s="38">
        <f>Scheda_Costi!E33</f>
        <v>489.6</v>
      </c>
      <c r="C7" s="2"/>
      <c r="D7" s="2"/>
    </row>
    <row r="8">
      <c r="A8" s="5" t="s">
        <v>261</v>
      </c>
      <c r="B8" s="16">
        <f>B4/1000*B5</f>
        <v>0.057</v>
      </c>
      <c r="C8" s="2"/>
      <c r="D8" s="2"/>
    </row>
    <row r="9">
      <c r="A9" s="5" t="s">
        <v>264</v>
      </c>
      <c r="B9" s="46">
        <f>IF(B8&gt;B6,B7/(B8-B6),"Esterno sempre conveniente")</f>
        <v>12741.11514</v>
      </c>
      <c r="C9" s="2"/>
      <c r="D9" s="2"/>
    </row>
    <row r="10">
      <c r="A10" s="2"/>
      <c r="B10" s="2"/>
      <c r="C10" s="2"/>
      <c r="D10" s="2"/>
    </row>
    <row r="11">
      <c r="A11" s="4" t="s">
        <v>247</v>
      </c>
      <c r="B11" s="4" t="s">
        <v>267</v>
      </c>
      <c r="C11" s="4" t="s">
        <v>269</v>
      </c>
      <c r="D11" s="4" t="s">
        <v>271</v>
      </c>
    </row>
    <row r="12">
      <c r="A12" s="42">
        <v>5000.0</v>
      </c>
      <c r="B12" s="38">
        <f t="shared" ref="B12:B17" si="1">$B$7+$B$6*A12</f>
        <v>582.4661111</v>
      </c>
      <c r="C12" s="38">
        <f t="shared" ref="C12:C17" si="2">$B$8*A12</f>
        <v>285</v>
      </c>
      <c r="D12" s="5" t="str">
        <f t="shared" ref="D12:D17" si="3">IF(B12&lt;C12,"MAKE","BUY")</f>
        <v>BUY</v>
      </c>
    </row>
    <row r="13">
      <c r="A13" s="42">
        <v>10000.0</v>
      </c>
      <c r="B13" s="38">
        <f t="shared" si="1"/>
        <v>675.3322222</v>
      </c>
      <c r="C13" s="38">
        <f t="shared" si="2"/>
        <v>570</v>
      </c>
      <c r="D13" s="5" t="str">
        <f t="shared" si="3"/>
        <v>BUY</v>
      </c>
    </row>
    <row r="14">
      <c r="A14" s="42">
        <v>25000.0</v>
      </c>
      <c r="B14" s="38">
        <f t="shared" si="1"/>
        <v>953.9305556</v>
      </c>
      <c r="C14" s="38">
        <f t="shared" si="2"/>
        <v>1425</v>
      </c>
      <c r="D14" s="5" t="str">
        <f t="shared" si="3"/>
        <v>MAKE</v>
      </c>
    </row>
    <row r="15">
      <c r="A15" s="42">
        <v>50000.0</v>
      </c>
      <c r="B15" s="38">
        <f t="shared" si="1"/>
        <v>1418.261111</v>
      </c>
      <c r="C15" s="38">
        <f t="shared" si="2"/>
        <v>2850</v>
      </c>
      <c r="D15" s="5" t="str">
        <f t="shared" si="3"/>
        <v>MAKE</v>
      </c>
    </row>
    <row r="16">
      <c r="A16" s="42">
        <v>100000.0</v>
      </c>
      <c r="B16" s="38">
        <f t="shared" si="1"/>
        <v>2346.922222</v>
      </c>
      <c r="C16" s="38">
        <f t="shared" si="2"/>
        <v>5700</v>
      </c>
      <c r="D16" s="5" t="str">
        <f t="shared" si="3"/>
        <v>MAKE</v>
      </c>
    </row>
    <row r="17">
      <c r="A17" s="42">
        <v>500000.0</v>
      </c>
      <c r="B17" s="38">
        <f t="shared" si="1"/>
        <v>9776.211111</v>
      </c>
      <c r="C17" s="38">
        <f t="shared" si="2"/>
        <v>28500</v>
      </c>
      <c r="D17" s="5" t="str">
        <f t="shared" si="3"/>
        <v>MAKE</v>
      </c>
    </row>
    <row r="18">
      <c r="A18" s="2"/>
      <c r="B18" s="2"/>
      <c r="C18" s="2"/>
      <c r="D18" s="2"/>
    </row>
    <row r="19">
      <c r="A19" s="44" t="s">
        <v>283</v>
      </c>
      <c r="B19" s="2"/>
      <c r="C19" s="2"/>
      <c r="D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36.0"/>
    <col customWidth="1" min="3" max="3" width="12.0"/>
    <col customWidth="1" min="4" max="4" width="22.0"/>
    <col customWidth="1" min="5" max="5" width="20.0"/>
    <col customWidth="1" min="6" max="6" width="56.0"/>
    <col customWidth="1" min="7" max="26" width="8.71"/>
  </cols>
  <sheetData>
    <row r="1">
      <c r="A1" s="1" t="s">
        <v>291</v>
      </c>
      <c r="B1" s="2"/>
      <c r="C1" s="2"/>
      <c r="D1" s="2"/>
      <c r="E1" s="2"/>
      <c r="F1" s="2"/>
    </row>
    <row r="2">
      <c r="A2" s="3" t="s">
        <v>292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4" t="s">
        <v>293</v>
      </c>
      <c r="B4" s="4" t="s">
        <v>8</v>
      </c>
      <c r="C4" s="4" t="s">
        <v>11</v>
      </c>
      <c r="D4" s="4" t="s">
        <v>294</v>
      </c>
      <c r="E4" s="4" t="s">
        <v>295</v>
      </c>
      <c r="F4" s="4" t="s">
        <v>114</v>
      </c>
    </row>
    <row r="5">
      <c r="A5" s="5" t="s">
        <v>296</v>
      </c>
      <c r="B5" s="5" t="s">
        <v>297</v>
      </c>
      <c r="C5" s="47">
        <v>0.9</v>
      </c>
      <c r="D5" s="51">
        <f>C5*0.05*0.07/C6</f>
        <v>0.000525</v>
      </c>
      <c r="E5" s="52">
        <f>D5/Scheda_Costi!$E$31</f>
        <v>0.01502435597</v>
      </c>
      <c r="F5" s="5" t="s">
        <v>298</v>
      </c>
    </row>
    <row r="6">
      <c r="A6" s="5"/>
      <c r="B6" s="5" t="s">
        <v>299</v>
      </c>
      <c r="C6" s="19">
        <v>6.0</v>
      </c>
      <c r="D6" s="5"/>
      <c r="E6" s="5"/>
      <c r="F6" s="5"/>
    </row>
    <row r="7">
      <c r="A7" s="5"/>
      <c r="B7" s="5"/>
      <c r="C7" s="5"/>
      <c r="D7" s="5"/>
      <c r="E7" s="5"/>
      <c r="F7" s="5"/>
    </row>
    <row r="8">
      <c r="A8" s="5" t="s">
        <v>300</v>
      </c>
      <c r="B8" s="5" t="s">
        <v>301</v>
      </c>
      <c r="C8" s="32">
        <v>2100.0</v>
      </c>
      <c r="D8" s="51">
        <f>Distinta_Tecnica!$B$24*C9/1000000*C8-Scheda_Costi!E27</f>
        <v>0.0008008940172</v>
      </c>
      <c r="E8" s="52">
        <f>D8/Scheda_Costi!$E$31</f>
        <v>0.02291984154</v>
      </c>
      <c r="F8" s="5" t="s">
        <v>302</v>
      </c>
    </row>
    <row r="9">
      <c r="A9" s="5"/>
      <c r="B9" s="5" t="s">
        <v>303</v>
      </c>
      <c r="C9" s="19">
        <v>60.0</v>
      </c>
      <c r="D9" s="5"/>
      <c r="E9" s="5"/>
      <c r="F9" s="5"/>
    </row>
    <row r="10">
      <c r="A10" s="5"/>
      <c r="B10" s="5" t="s">
        <v>304</v>
      </c>
      <c r="C10" s="43">
        <v>0.2</v>
      </c>
      <c r="D10" s="51">
        <f>Scheda_Costi!E29*C10</f>
        <v>0.0009166666667</v>
      </c>
      <c r="E10" s="5"/>
      <c r="F10" s="5" t="s">
        <v>305</v>
      </c>
    </row>
    <row r="11">
      <c r="A11" s="5"/>
      <c r="B11" s="5"/>
      <c r="C11" s="5"/>
      <c r="D11" s="5"/>
      <c r="E11" s="5"/>
      <c r="F11" s="5"/>
    </row>
    <row r="12">
      <c r="A12" s="25" t="s">
        <v>306</v>
      </c>
      <c r="B12" s="25"/>
      <c r="C12" s="25"/>
      <c r="D12" s="53">
        <f>D8+D10</f>
        <v>0.001717560684</v>
      </c>
      <c r="E12" s="54">
        <f>D12/Scheda_Costi!$E$31</f>
        <v>0.04915284402</v>
      </c>
      <c r="F12" s="25"/>
    </row>
    <row r="13">
      <c r="A13" s="2"/>
      <c r="B13" s="2"/>
      <c r="C13" s="2"/>
      <c r="D13" s="2"/>
      <c r="E13" s="2"/>
      <c r="F13" s="2"/>
    </row>
    <row r="14">
      <c r="A14" s="44" t="s">
        <v>307</v>
      </c>
      <c r="B14" s="2"/>
      <c r="C14" s="2"/>
      <c r="D14" s="2"/>
      <c r="E14" s="2"/>
      <c r="F1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